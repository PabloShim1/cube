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velsimko/Documents/cube/"/>
    </mc:Choice>
  </mc:AlternateContent>
  <xr:revisionPtr revIDLastSave="0" documentId="13_ncr:1_{2AAC5B02-CAD4-614A-8303-08FA46310F8D}" xr6:coauthVersionLast="47" xr6:coauthVersionMax="47" xr10:uidLastSave="{00000000-0000-0000-0000-000000000000}"/>
  <bookViews>
    <workbookView xWindow="4420" yWindow="660" windowWidth="24980" windowHeight="16660" xr2:uid="{F9370C83-3CBF-B948-9E81-E47FD604D93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1" l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10" i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J36" i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C26" i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</calcChain>
</file>

<file path=xl/sharedStrings.xml><?xml version="1.0" encoding="utf-8"?>
<sst xmlns="http://schemas.openxmlformats.org/spreadsheetml/2006/main" count="490" uniqueCount="352">
  <si>
    <t>Mode</t>
  </si>
  <si>
    <t>DUR (Max/Min)</t>
  </si>
  <si>
    <t>Total E (MeV)</t>
  </si>
  <si>
    <t>Efficiency (%)</t>
  </si>
  <si>
    <t>PDD</t>
  </si>
  <si>
    <t>14.912645192708654</t>
  </si>
  <si>
    <t>489455.1695946206</t>
  </si>
  <si>
    <t>19.578206783784825</t>
  </si>
  <si>
    <t>17.305622256853464</t>
  </si>
  <si>
    <t>745442.3364627289</t>
  </si>
  <si>
    <t>29.817693458509158</t>
  </si>
  <si>
    <t>17.835606020346226</t>
  </si>
  <si>
    <t>1011820.3388688677</t>
  </si>
  <si>
    <t>40.47281355475471</t>
  </si>
  <si>
    <t>27.613214774104172</t>
  </si>
  <si>
    <t>1276445.6400697005</t>
  </si>
  <si>
    <t>51.05782560278802</t>
  </si>
  <si>
    <t>44.88479651376877</t>
  </si>
  <si>
    <t>1511575.9860425931</t>
  </si>
  <si>
    <t>60.46303944170373</t>
  </si>
  <si>
    <t>101.00004098078952</t>
  </si>
  <si>
    <t>1699013.0893181737</t>
  </si>
  <si>
    <t>67.96052357272696</t>
  </si>
  <si>
    <t>296.20617851734863</t>
  </si>
  <si>
    <t>1822609.6797868824</t>
  </si>
  <si>
    <t>72.9043871914753</t>
  </si>
  <si>
    <t>1303.8395499714873</t>
  </si>
  <si>
    <t>1884828.8015364083</t>
  </si>
  <si>
    <t>75.39315206145632</t>
  </si>
  <si>
    <t>13722.709812162166</t>
  </si>
  <si>
    <t>1903150.3905802793</t>
  </si>
  <si>
    <t>76.12601562321117</t>
  </si>
  <si>
    <t>115170.45125032942</t>
  </si>
  <si>
    <t>1906058.20849988</t>
  </si>
  <si>
    <t>76.2423283399952</t>
  </si>
  <si>
    <t>160909.8653857359</t>
  </si>
  <si>
    <t>1906145.8724120858</t>
  </si>
  <si>
    <t>76.24583489648343</t>
  </si>
  <si>
    <t>121899.54999913237</t>
  </si>
  <si>
    <t>1907618.5441838864</t>
  </si>
  <si>
    <t>76.30474176735545</t>
  </si>
  <si>
    <t>320058.8826541372</t>
  </si>
  <si>
    <t>1906425.46468837</t>
  </si>
  <si>
    <t>76.2570185875348</t>
  </si>
  <si>
    <t>2 Мэв  Материал: полипропилен (C₃H₆)ₙ.</t>
  </si>
  <si>
    <t>1249032.0347648782</t>
  </si>
  <si>
    <t>1765106.7738615968</t>
  </si>
  <si>
    <t>2573108.217006918</t>
  </si>
  <si>
    <t>3550930.253437873</t>
  </si>
  <si>
    <t>4019238.575589472</t>
  </si>
  <si>
    <t>4208651.789621731</t>
  </si>
  <si>
    <t>4215310.330081707</t>
  </si>
  <si>
    <t>4212563.897780851</t>
  </si>
  <si>
    <t>5 Мэв  Материал: полипропилен (C₃H₆)ₙ.</t>
  </si>
  <si>
    <t>16.988979954713763</t>
  </si>
  <si>
    <t>465187.15681231965</t>
  </si>
  <si>
    <t>20.38210475448123</t>
  </si>
  <si>
    <t>690201.532808199</t>
  </si>
  <si>
    <t>17.659675752791763</t>
  </si>
  <si>
    <t>951962.4729064957</t>
  </si>
  <si>
    <t>17.46786201668415</t>
  </si>
  <si>
    <t>1218773.304594493</t>
  </si>
  <si>
    <t>22.454740089387048</t>
  </si>
  <si>
    <t>1491498.3161463654</t>
  </si>
  <si>
    <t>30.264244904641583</t>
  </si>
  <si>
    <t>1743434.4732827833</t>
  </si>
  <si>
    <t>52.934845036148204</t>
  </si>
  <si>
    <t>1964461.507078485</t>
  </si>
  <si>
    <t>100.31344607346819</t>
  </si>
  <si>
    <t>2139906.8838518397</t>
  </si>
  <si>
    <t>252.33276280532783</t>
  </si>
  <si>
    <t>2261228.3971634116</t>
  </si>
  <si>
    <t>865.267907112852</t>
  </si>
  <si>
    <t>2330757.2279010224</t>
  </si>
  <si>
    <t>4679.633297817816</t>
  </si>
  <si>
    <t>2360916.0966885686</t>
  </si>
  <si>
    <t>48228.76884977592</t>
  </si>
  <si>
    <t>2367508.7241742127</t>
  </si>
  <si>
    <t>138461.54540303856</t>
  </si>
  <si>
    <t>2366750.5923782885</t>
  </si>
  <si>
    <t>100204.47171401812</t>
  </si>
  <si>
    <t>2372705.6814016537</t>
  </si>
  <si>
    <t>130182.86361950096</t>
  </si>
  <si>
    <t>2373354.314963905</t>
  </si>
  <si>
    <t>85943.1221627587</t>
  </si>
  <si>
    <t>2373139.347275447</t>
  </si>
  <si>
    <t>126880.94596057764</t>
  </si>
  <si>
    <t>2372718.4036973184</t>
  </si>
  <si>
    <t>239544.8871833709</t>
  </si>
  <si>
    <t>2372898.811181872</t>
  </si>
  <si>
    <t>116226.94407021199</t>
  </si>
  <si>
    <t>2373807.5632952447</t>
  </si>
  <si>
    <t>118443.31912808774</t>
  </si>
  <si>
    <t>2374857.525654385</t>
  </si>
  <si>
    <t>124481.01489922915</t>
  </si>
  <si>
    <t>2374963.609296602</t>
  </si>
  <si>
    <t>3 Мэв  Материал: полипропилен (C₃H₆)ₙ.</t>
  </si>
  <si>
    <t>Толщина слоя в мм</t>
  </si>
  <si>
    <t>15.506238560410655</t>
  </si>
  <si>
    <t>23.006717760273297</t>
  </si>
  <si>
    <t>31.732082430216522</t>
  </si>
  <si>
    <t>40.62577681981644</t>
  </si>
  <si>
    <t>49.71661053821218</t>
  </si>
  <si>
    <t>58.11448244275944</t>
  </si>
  <si>
    <t>65.4820502359495</t>
  </si>
  <si>
    <t>71.330229461728</t>
  </si>
  <si>
    <t>75.37427990544705</t>
  </si>
  <si>
    <t>77.69190759670074</t>
  </si>
  <si>
    <t>78.69720322295228</t>
  </si>
  <si>
    <t>78.91695747247375</t>
  </si>
  <si>
    <t>78.89168641260962</t>
  </si>
  <si>
    <t>79.09018938005512</t>
  </si>
  <si>
    <t>79.11181049879684</t>
  </si>
  <si>
    <t>79.10464490918156</t>
  </si>
  <si>
    <t>79.09061345657727</t>
  </si>
  <si>
    <t>79.09662703939574</t>
  </si>
  <si>
    <t>79.12691877650816</t>
  </si>
  <si>
    <t>79.16191752181282</t>
  </si>
  <si>
    <t>79.16545364322008</t>
  </si>
  <si>
    <t>60.78393330431887</t>
  </si>
  <si>
    <t>415319.02295965725</t>
  </si>
  <si>
    <t>8.306380459193145</t>
  </si>
  <si>
    <t>56.88459459661947</t>
  </si>
  <si>
    <t>601992.5421323257</t>
  </si>
  <si>
    <t>12.039850842646514</t>
  </si>
  <si>
    <t>51.61847785274969</t>
  </si>
  <si>
    <t>798483.5541213963</t>
  </si>
  <si>
    <t>15.969671082427924</t>
  </si>
  <si>
    <t>45.9147439167879</t>
  </si>
  <si>
    <t>1006490.1186275367</t>
  </si>
  <si>
    <t>20.129802372550735</t>
  </si>
  <si>
    <t>40.993297284335576</t>
  </si>
  <si>
    <t>24.980640695297566</t>
  </si>
  <si>
    <t>32.7783723896409</t>
  </si>
  <si>
    <t>1506054.5266423419</t>
  </si>
  <si>
    <t>30.12109053284684</t>
  </si>
  <si>
    <t>27.163480530707695</t>
  </si>
  <si>
    <t>35.302135477231936</t>
  </si>
  <si>
    <t>24.65829726421429</t>
  </si>
  <si>
    <t>2030395.3888987033</t>
  </si>
  <si>
    <t>40.60790777797407</t>
  </si>
  <si>
    <t>24.356742611158264</t>
  </si>
  <si>
    <t>2303644.421196253</t>
  </si>
  <si>
    <t>46.072888423925065</t>
  </si>
  <si>
    <t>24.06933997322579</t>
  </si>
  <si>
    <t>51.46216434013836</t>
  </si>
  <si>
    <t>25.572015145908594</t>
  </si>
  <si>
    <t>2836655.04987258</t>
  </si>
  <si>
    <t>56.7331009974516</t>
  </si>
  <si>
    <t>29.2872639517945</t>
  </si>
  <si>
    <t>3093530.5778491762</t>
  </si>
  <si>
    <t>61.870611556983526</t>
  </si>
  <si>
    <t>35.361288628676</t>
  </si>
  <si>
    <t>3328315.163230122</t>
  </si>
  <si>
    <t>66.56630326460244</t>
  </si>
  <si>
    <t>45.71690269133682</t>
  </si>
  <si>
    <t>71.01860506875745</t>
  </si>
  <si>
    <t>64.77504242085223</t>
  </si>
  <si>
    <t>3741895.9328156672</t>
  </si>
  <si>
    <t>74.83791865631333</t>
  </si>
  <si>
    <t>98.25442024769436</t>
  </si>
  <si>
    <t>3897377.8898421936</t>
  </si>
  <si>
    <t>77.94755779684387</t>
  </si>
  <si>
    <t>170.77734546707532</t>
  </si>
  <si>
    <t>80.38477151178944</t>
  </si>
  <si>
    <t>336.35820896834764</t>
  </si>
  <si>
    <t>4106889.0049336664</t>
  </si>
  <si>
    <t>82.13778009867333</t>
  </si>
  <si>
    <t>794.6619807849062</t>
  </si>
  <si>
    <t>4163560.66423187</t>
  </si>
  <si>
    <t>83.2712132846374</t>
  </si>
  <si>
    <t>2272.7340676901267</t>
  </si>
  <si>
    <t>4194673.303900691</t>
  </si>
  <si>
    <t>83.89346607801382</t>
  </si>
  <si>
    <t>8375.750310556974</t>
  </si>
  <si>
    <t>84.17303579243463</t>
  </si>
  <si>
    <t>37077.6756312932</t>
  </si>
  <si>
    <t>84.30620660163413</t>
  </si>
  <si>
    <t>97548.21224734523</t>
  </si>
  <si>
    <t>84.25127795561703</t>
  </si>
  <si>
    <t>13.401252395977444</t>
  </si>
  <si>
    <t>441218.53742170427</t>
  </si>
  <si>
    <t>17.64874149686817</t>
  </si>
  <si>
    <t>17.933255256077985</t>
  </si>
  <si>
    <t>676574.5710698318</t>
  </si>
  <si>
    <t>27.062982842793275</t>
  </si>
  <si>
    <t>17.466651807991443</t>
  </si>
  <si>
    <t>930744.1776359121</t>
  </si>
  <si>
    <t>37.22976710543649</t>
  </si>
  <si>
    <t>24.29945594811257</t>
  </si>
  <si>
    <t>1177563.6966581556</t>
  </si>
  <si>
    <t>47.102547866326226</t>
  </si>
  <si>
    <t>39.464352146592375</t>
  </si>
  <si>
    <t>1404774.3092883963</t>
  </si>
  <si>
    <t>56.19097237153585</t>
  </si>
  <si>
    <t>70.7275026437237</t>
  </si>
  <si>
    <t>1589660.784551292</t>
  </si>
  <si>
    <t>63.58643138205168</t>
  </si>
  <si>
    <t>148.44920000140016</t>
  </si>
  <si>
    <t>1731467.784693124</t>
  </si>
  <si>
    <t>69.25871138772496</t>
  </si>
  <si>
    <t>386.1189969689171</t>
  </si>
  <si>
    <t>1823814.8086848282</t>
  </si>
  <si>
    <t>72.95259234739314</t>
  </si>
  <si>
    <t>1332.492595426932</t>
  </si>
  <si>
    <t>1873025.8026537686</t>
  </si>
  <si>
    <t>74.92103210615075</t>
  </si>
  <si>
    <t>8194.817228821545</t>
  </si>
  <si>
    <t>1891422.9518032558</t>
  </si>
  <si>
    <t>75.65691807213022</t>
  </si>
  <si>
    <t>97545.17811370322</t>
  </si>
  <si>
    <t>1894313.9348039387</t>
  </si>
  <si>
    <t>75.77255739215755</t>
  </si>
  <si>
    <t>131756.88134547384</t>
  </si>
  <si>
    <t>1896178.903726813</t>
  </si>
  <si>
    <t>75.84715614907252</t>
  </si>
  <si>
    <t>319481.2087446825</t>
  </si>
  <si>
    <t>1895274.3971924507</t>
  </si>
  <si>
    <t>75.81097588769804</t>
  </si>
  <si>
    <t>2 Мэв  Материал:PTFE (политетрафторэтилен)</t>
  </si>
  <si>
    <t>15.296647892654407</t>
  </si>
  <si>
    <t>413993.62657862337</t>
  </si>
  <si>
    <t>13.79978755262078</t>
  </si>
  <si>
    <t>15.318054795282139</t>
  </si>
  <si>
    <t>619217.845600707</t>
  </si>
  <si>
    <t>20.6405948533569</t>
  </si>
  <si>
    <t>17.43853982182291</t>
  </si>
  <si>
    <t>861752.9456073144</t>
  </si>
  <si>
    <t>28.72509818691048</t>
  </si>
  <si>
    <t>16.451526691170162</t>
  </si>
  <si>
    <t>1113718.7016498188</t>
  </si>
  <si>
    <t>37.123956721660626</t>
  </si>
  <si>
    <t>19.5405979142051</t>
  </si>
  <si>
    <t>1367931.2493873676</t>
  </si>
  <si>
    <t>45.59770831291225</t>
  </si>
  <si>
    <t>27.806354567011525</t>
  </si>
  <si>
    <t>1611256.2845020702</t>
  </si>
  <si>
    <t>53.70854281673567</t>
  </si>
  <si>
    <t>39.759061658248406</t>
  </si>
  <si>
    <t>1823984.8450964394</t>
  </si>
  <si>
    <t>60.79949483654797</t>
  </si>
  <si>
    <t>69.1944644200866</t>
  </si>
  <si>
    <t>2005109.300540266</t>
  </si>
  <si>
    <t>66.83697668467553</t>
  </si>
  <si>
    <t>124.72521499210767</t>
  </si>
  <si>
    <t>2145183.397237351</t>
  </si>
  <si>
    <t>71.50611324124505</t>
  </si>
  <si>
    <t>275.88184938530725</t>
  </si>
  <si>
    <t>2245443.358103983</t>
  </si>
  <si>
    <t>74.84811193679943</t>
  </si>
  <si>
    <t>702.400936744998</t>
  </si>
  <si>
    <t>2309084.406439623</t>
  </si>
  <si>
    <t>76.9694802146541</t>
  </si>
  <si>
    <t>2557.062871251703</t>
  </si>
  <si>
    <t>2340581.097048817</t>
  </si>
  <si>
    <t>78.01936990162724</t>
  </si>
  <si>
    <t>14315.55841710663</t>
  </si>
  <si>
    <t>2350103.964426391</t>
  </si>
  <si>
    <t>78.33679881421303</t>
  </si>
  <si>
    <t>91415.11771917675</t>
  </si>
  <si>
    <t>2357659.4371790905</t>
  </si>
  <si>
    <t>78.58864790596968</t>
  </si>
  <si>
    <t>138738.13621675782</t>
  </si>
  <si>
    <t>2358146.875421569</t>
  </si>
  <si>
    <t>78.60489584738563</t>
  </si>
  <si>
    <t>104626.37265013774</t>
  </si>
  <si>
    <t>2358114.252171805</t>
  </si>
  <si>
    <t>78.60380840572684</t>
  </si>
  <si>
    <t>163966.7288163773</t>
  </si>
  <si>
    <t>2357775.4162883046</t>
  </si>
  <si>
    <t>78.59251387627681</t>
  </si>
  <si>
    <t>256019.68529907553</t>
  </si>
  <si>
    <t>2357810.147659766</t>
  </si>
  <si>
    <t>78.59367158865886</t>
  </si>
  <si>
    <t>101131.40464810662</t>
  </si>
  <si>
    <t>2358712.059309407</t>
  </si>
  <si>
    <t>78.62373531031356</t>
  </si>
  <si>
    <t>127473.15194243653</t>
  </si>
  <si>
    <t>2360058.8214097978</t>
  </si>
  <si>
    <t>78.6686273803266</t>
  </si>
  <si>
    <t>114471.69930850339</t>
  </si>
  <si>
    <t>2360035.9735056083</t>
  </si>
  <si>
    <t>78.66786578352027</t>
  </si>
  <si>
    <t>53.74610276712527</t>
  </si>
  <si>
    <t>362035.43097124173</t>
  </si>
  <si>
    <t>7.240708619424835</t>
  </si>
  <si>
    <t>48.29557707844798</t>
  </si>
  <si>
    <t>526700.6044729613</t>
  </si>
  <si>
    <t>10.534012089459226</t>
  </si>
  <si>
    <t>42.96203609161138</t>
  </si>
  <si>
    <t>701548.9191427852</t>
  </si>
  <si>
    <t>14.030978382855706</t>
  </si>
  <si>
    <t>37.64367774634459</t>
  </si>
  <si>
    <t>887908.413453078</t>
  </si>
  <si>
    <t>17.75816826906156</t>
  </si>
  <si>
    <t>39.172606501195204</t>
  </si>
  <si>
    <t>1094308.9704465906</t>
  </si>
  <si>
    <t>21.88617940893181</t>
  </si>
  <si>
    <t>31.459517829993892</t>
  </si>
  <si>
    <t>1332019.5515865092</t>
  </si>
  <si>
    <t>26.640391031730182</t>
  </si>
  <si>
    <t>25.94484409244931</t>
  </si>
  <si>
    <t>1571448.7208405826</t>
  </si>
  <si>
    <t>31.42897441681165</t>
  </si>
  <si>
    <t>22.91670036078802</t>
  </si>
  <si>
    <t>1816035.1279919515</t>
  </si>
  <si>
    <t>36.32070255983903</t>
  </si>
  <si>
    <t>21.45389442241192</t>
  </si>
  <si>
    <t>2068085.9186111882</t>
  </si>
  <si>
    <t>41.36171837222376</t>
  </si>
  <si>
    <t>22.15687837132256</t>
  </si>
  <si>
    <t>2324015.576724064</t>
  </si>
  <si>
    <t>46.48031153448128</t>
  </si>
  <si>
    <t>23.145277910760424</t>
  </si>
  <si>
    <t>2574997.3730295952</t>
  </si>
  <si>
    <t>51.4999474605919</t>
  </si>
  <si>
    <t>24.998453731666675</t>
  </si>
  <si>
    <t>2817850.263606037</t>
  </si>
  <si>
    <t>56.357005272120745</t>
  </si>
  <si>
    <t>28.630165577629725</t>
  </si>
  <si>
    <t>3044662.5304114996</t>
  </si>
  <si>
    <t>60.89325060822999</t>
  </si>
  <si>
    <t>35.358063965870635</t>
  </si>
  <si>
    <t>3267633.573001895</t>
  </si>
  <si>
    <t>65.3526714600379</t>
  </si>
  <si>
    <t>43.97919517053888</t>
  </si>
  <si>
    <t>3463601.304560747</t>
  </si>
  <si>
    <t>69.27202609121494</t>
  </si>
  <si>
    <t>57.98957678996243</t>
  </si>
  <si>
    <t>3634989.8921125876</t>
  </si>
  <si>
    <t>72.69979784225175</t>
  </si>
  <si>
    <t>82.64982485957493</t>
  </si>
  <si>
    <t>3783025.71806232</t>
  </si>
  <si>
    <t>75.6605143612464</t>
  </si>
  <si>
    <t>124.78769031217104</t>
  </si>
  <si>
    <t>3904717.8558839555</t>
  </si>
  <si>
    <t>78.09435711767911</t>
  </si>
  <si>
    <t>204.10813723309096</t>
  </si>
  <si>
    <t>4000378.1700541265</t>
  </si>
  <si>
    <t>80.00756340108252</t>
  </si>
  <si>
    <t>368.1576406636101</t>
  </si>
  <si>
    <t>4072167.426380516</t>
  </si>
  <si>
    <t>81.44334852761031</t>
  </si>
  <si>
    <t>721.5934957308343</t>
  </si>
  <si>
    <t>4120347.9595148214</t>
  </si>
  <si>
    <t>82.40695919029642</t>
  </si>
  <si>
    <t>1639.5987690527638</t>
  </si>
  <si>
    <t>4153529.081980141</t>
  </si>
  <si>
    <t>83.0705816396028</t>
  </si>
  <si>
    <t>4333.933275882083</t>
  </si>
  <si>
    <t>4166076.1136295707</t>
  </si>
  <si>
    <t>83.32152227259141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</si>
</sst>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FFB2-31BF-894D-A2C8-B981176CC2AE}">
  <dimension ref="C7:U57"/>
  <sheetViews>
    <sheetView tabSelected="1" topLeftCell="G28" zoomScale="108" workbookViewId="0">
      <selection activeCell="O42" sqref="O42"/>
    </sheetView>
  </sheetViews>
  <sheetFormatPr baseColWidth="10" defaultRowHeight="16" x14ac:dyDescent="0.2"/>
  <cols>
    <col min="3" max="3" width="19.83203125" customWidth="1"/>
    <col min="4" max="4" width="6.1640625" customWidth="1"/>
    <col min="5" max="5" width="23.5" customWidth="1"/>
    <col min="6" max="6" width="20.6640625" customWidth="1"/>
    <col min="10" max="10" width="17.1640625" customWidth="1"/>
    <col min="11" max="11" width="5.33203125" customWidth="1"/>
    <col min="12" max="12" width="21.6640625" customWidth="1"/>
    <col min="13" max="14" width="20.5" customWidth="1"/>
    <col min="16" max="16" width="17" customWidth="1"/>
    <col min="17" max="17" width="6" customWidth="1"/>
    <col min="18" max="18" width="19.5" customWidth="1"/>
    <col min="19" max="19" width="18.5" customWidth="1"/>
    <col min="20" max="20" width="19" customWidth="1"/>
  </cols>
  <sheetData>
    <row r="7" spans="3:21" x14ac:dyDescent="0.2">
      <c r="C7" s="5" t="s">
        <v>44</v>
      </c>
      <c r="D7" s="5"/>
      <c r="E7" s="5"/>
      <c r="F7" s="5"/>
      <c r="G7" s="5"/>
      <c r="H7" s="5"/>
      <c r="J7" s="5" t="s">
        <v>53</v>
      </c>
      <c r="K7" s="5"/>
      <c r="L7" s="5"/>
      <c r="M7" s="5"/>
      <c r="N7" s="5"/>
      <c r="O7" s="5"/>
      <c r="P7" s="5" t="s">
        <v>96</v>
      </c>
      <c r="Q7" s="5"/>
      <c r="R7" s="5"/>
      <c r="S7" s="5"/>
      <c r="T7" s="5"/>
      <c r="U7" s="5"/>
    </row>
    <row r="8" spans="3:21" x14ac:dyDescent="0.2">
      <c r="C8" s="1" t="s">
        <v>97</v>
      </c>
      <c r="D8" s="1" t="s">
        <v>0</v>
      </c>
      <c r="E8" s="1" t="s">
        <v>1</v>
      </c>
      <c r="F8" s="1" t="s">
        <v>2</v>
      </c>
      <c r="G8" s="1" t="s">
        <v>3</v>
      </c>
      <c r="J8" s="1" t="s">
        <v>97</v>
      </c>
      <c r="K8" s="1" t="s">
        <v>0</v>
      </c>
      <c r="L8" s="1" t="s">
        <v>1</v>
      </c>
      <c r="M8" s="1" t="s">
        <v>2</v>
      </c>
      <c r="N8" s="1" t="s">
        <v>3</v>
      </c>
      <c r="P8" s="1" t="s">
        <v>97</v>
      </c>
      <c r="Q8" s="1" t="s">
        <v>0</v>
      </c>
      <c r="R8" s="1" t="s">
        <v>1</v>
      </c>
      <c r="S8" s="1" t="s">
        <v>2</v>
      </c>
      <c r="T8" s="1" t="s">
        <v>3</v>
      </c>
    </row>
    <row r="9" spans="3:21" x14ac:dyDescent="0.2">
      <c r="C9" s="1">
        <v>5</v>
      </c>
      <c r="D9" s="2" t="s">
        <v>4</v>
      </c>
      <c r="E9" s="2" t="s">
        <v>5</v>
      </c>
      <c r="F9" s="2" t="s">
        <v>6</v>
      </c>
      <c r="G9" s="2" t="s">
        <v>7</v>
      </c>
      <c r="J9" s="4">
        <v>5</v>
      </c>
      <c r="K9" s="2" t="s">
        <v>4</v>
      </c>
      <c r="L9" s="2" t="s">
        <v>119</v>
      </c>
      <c r="M9" s="2" t="s">
        <v>120</v>
      </c>
      <c r="N9" s="2" t="s">
        <v>121</v>
      </c>
      <c r="P9" s="3">
        <v>5</v>
      </c>
      <c r="Q9" s="2" t="s">
        <v>4</v>
      </c>
      <c r="R9" s="2" t="s">
        <v>54</v>
      </c>
      <c r="S9" s="2" t="s">
        <v>55</v>
      </c>
      <c r="T9" s="2" t="s">
        <v>98</v>
      </c>
    </row>
    <row r="10" spans="3:21" x14ac:dyDescent="0.2">
      <c r="C10" s="1">
        <f>C9+2</f>
        <v>7</v>
      </c>
      <c r="D10" s="2" t="s">
        <v>4</v>
      </c>
      <c r="E10" s="2" t="s">
        <v>8</v>
      </c>
      <c r="F10" s="2" t="s">
        <v>9</v>
      </c>
      <c r="G10" s="2" t="s">
        <v>10</v>
      </c>
      <c r="J10" s="4">
        <f>J9+2</f>
        <v>7</v>
      </c>
      <c r="K10" s="2" t="s">
        <v>4</v>
      </c>
      <c r="L10" s="2" t="s">
        <v>122</v>
      </c>
      <c r="M10" s="2" t="s">
        <v>123</v>
      </c>
      <c r="N10" s="2" t="s">
        <v>124</v>
      </c>
      <c r="P10" s="3">
        <f>P9+2</f>
        <v>7</v>
      </c>
      <c r="Q10" s="2" t="s">
        <v>4</v>
      </c>
      <c r="R10" s="2" t="s">
        <v>56</v>
      </c>
      <c r="S10" s="2" t="s">
        <v>57</v>
      </c>
      <c r="T10" s="2" t="s">
        <v>99</v>
      </c>
    </row>
    <row r="11" spans="3:21" x14ac:dyDescent="0.2">
      <c r="C11" s="1">
        <f t="shared" ref="C11:C21" si="0">C10+2</f>
        <v>9</v>
      </c>
      <c r="D11" s="2" t="s">
        <v>4</v>
      </c>
      <c r="E11" s="2" t="s">
        <v>11</v>
      </c>
      <c r="F11" s="2" t="s">
        <v>12</v>
      </c>
      <c r="G11" s="2" t="s">
        <v>13</v>
      </c>
      <c r="J11" s="4">
        <f t="shared" ref="J11:J31" si="1">J10+2</f>
        <v>9</v>
      </c>
      <c r="K11" s="2" t="s">
        <v>4</v>
      </c>
      <c r="L11" s="2" t="s">
        <v>125</v>
      </c>
      <c r="M11" s="2" t="s">
        <v>126</v>
      </c>
      <c r="N11" s="2" t="s">
        <v>127</v>
      </c>
      <c r="P11" s="3">
        <f t="shared" ref="P11:P29" si="2">P10+2</f>
        <v>9</v>
      </c>
      <c r="Q11" s="2" t="s">
        <v>4</v>
      </c>
      <c r="R11" s="2" t="s">
        <v>58</v>
      </c>
      <c r="S11" s="2" t="s">
        <v>59</v>
      </c>
      <c r="T11" s="2" t="s">
        <v>100</v>
      </c>
    </row>
    <row r="12" spans="3:21" x14ac:dyDescent="0.2">
      <c r="C12" s="1">
        <f t="shared" si="0"/>
        <v>11</v>
      </c>
      <c r="D12" s="2" t="s">
        <v>4</v>
      </c>
      <c r="E12" s="2" t="s">
        <v>14</v>
      </c>
      <c r="F12" s="2" t="s">
        <v>15</v>
      </c>
      <c r="G12" s="2" t="s">
        <v>16</v>
      </c>
      <c r="J12" s="4">
        <f t="shared" si="1"/>
        <v>11</v>
      </c>
      <c r="K12" s="2" t="s">
        <v>4</v>
      </c>
      <c r="L12" s="2" t="s">
        <v>128</v>
      </c>
      <c r="M12" s="2" t="s">
        <v>129</v>
      </c>
      <c r="N12" s="2" t="s">
        <v>130</v>
      </c>
      <c r="P12" s="3">
        <f t="shared" si="2"/>
        <v>11</v>
      </c>
      <c r="Q12" s="2" t="s">
        <v>4</v>
      </c>
      <c r="R12" s="2" t="s">
        <v>60</v>
      </c>
      <c r="S12" s="2" t="s">
        <v>61</v>
      </c>
      <c r="T12" s="2" t="s">
        <v>101</v>
      </c>
    </row>
    <row r="13" spans="3:21" x14ac:dyDescent="0.2">
      <c r="C13" s="1">
        <f t="shared" si="0"/>
        <v>13</v>
      </c>
      <c r="D13" s="2" t="s">
        <v>4</v>
      </c>
      <c r="E13" s="2" t="s">
        <v>17</v>
      </c>
      <c r="F13" s="2" t="s">
        <v>18</v>
      </c>
      <c r="G13" s="2" t="s">
        <v>19</v>
      </c>
      <c r="J13" s="4">
        <f t="shared" si="1"/>
        <v>13</v>
      </c>
      <c r="K13" s="2" t="s">
        <v>4</v>
      </c>
      <c r="L13" s="2" t="s">
        <v>131</v>
      </c>
      <c r="M13" s="2" t="s">
        <v>45</v>
      </c>
      <c r="N13" s="2" t="s">
        <v>132</v>
      </c>
      <c r="P13" s="3">
        <f t="shared" si="2"/>
        <v>13</v>
      </c>
      <c r="Q13" s="2" t="s">
        <v>4</v>
      </c>
      <c r="R13" s="2" t="s">
        <v>62</v>
      </c>
      <c r="S13" s="2" t="s">
        <v>63</v>
      </c>
      <c r="T13" s="2" t="s">
        <v>102</v>
      </c>
    </row>
    <row r="14" spans="3:21" x14ac:dyDescent="0.2">
      <c r="C14" s="1">
        <f t="shared" si="0"/>
        <v>15</v>
      </c>
      <c r="D14" s="2" t="s">
        <v>4</v>
      </c>
      <c r="E14" s="2" t="s">
        <v>20</v>
      </c>
      <c r="F14" s="2" t="s">
        <v>21</v>
      </c>
      <c r="G14" s="2" t="s">
        <v>22</v>
      </c>
      <c r="J14" s="4">
        <f t="shared" si="1"/>
        <v>15</v>
      </c>
      <c r="K14" s="2" t="s">
        <v>4</v>
      </c>
      <c r="L14" s="2" t="s">
        <v>133</v>
      </c>
      <c r="M14" s="2" t="s">
        <v>134</v>
      </c>
      <c r="N14" s="2" t="s">
        <v>135</v>
      </c>
      <c r="P14" s="3">
        <f t="shared" si="2"/>
        <v>15</v>
      </c>
      <c r="Q14" s="2" t="s">
        <v>4</v>
      </c>
      <c r="R14" s="2" t="s">
        <v>64</v>
      </c>
      <c r="S14" s="2" t="s">
        <v>65</v>
      </c>
      <c r="T14" s="2" t="s">
        <v>103</v>
      </c>
    </row>
    <row r="15" spans="3:21" x14ac:dyDescent="0.2">
      <c r="C15" s="1">
        <f t="shared" si="0"/>
        <v>17</v>
      </c>
      <c r="D15" s="2" t="s">
        <v>4</v>
      </c>
      <c r="E15" s="2" t="s">
        <v>23</v>
      </c>
      <c r="F15" s="2" t="s">
        <v>24</v>
      </c>
      <c r="G15" s="2" t="s">
        <v>25</v>
      </c>
      <c r="J15" s="4">
        <f t="shared" si="1"/>
        <v>17</v>
      </c>
      <c r="K15" s="2" t="s">
        <v>4</v>
      </c>
      <c r="L15" s="2" t="s">
        <v>136</v>
      </c>
      <c r="M15" s="2" t="s">
        <v>46</v>
      </c>
      <c r="N15" s="2" t="s">
        <v>137</v>
      </c>
      <c r="P15" s="3">
        <f t="shared" si="2"/>
        <v>17</v>
      </c>
      <c r="Q15" s="2" t="s">
        <v>4</v>
      </c>
      <c r="R15" s="2" t="s">
        <v>66</v>
      </c>
      <c r="S15" s="2" t="s">
        <v>67</v>
      </c>
      <c r="T15" s="2" t="s">
        <v>104</v>
      </c>
    </row>
    <row r="16" spans="3:21" x14ac:dyDescent="0.2">
      <c r="C16" s="1">
        <f t="shared" si="0"/>
        <v>19</v>
      </c>
      <c r="D16" s="2" t="s">
        <v>4</v>
      </c>
      <c r="E16" s="2" t="s">
        <v>26</v>
      </c>
      <c r="F16" s="2" t="s">
        <v>27</v>
      </c>
      <c r="G16" s="2" t="s">
        <v>28</v>
      </c>
      <c r="J16" s="4">
        <f t="shared" si="1"/>
        <v>19</v>
      </c>
      <c r="K16" s="2" t="s">
        <v>4</v>
      </c>
      <c r="L16" s="2" t="s">
        <v>138</v>
      </c>
      <c r="M16" s="2" t="s">
        <v>139</v>
      </c>
      <c r="N16" s="2" t="s">
        <v>140</v>
      </c>
      <c r="P16" s="3">
        <f t="shared" si="2"/>
        <v>19</v>
      </c>
      <c r="Q16" s="2" t="s">
        <v>4</v>
      </c>
      <c r="R16" s="2" t="s">
        <v>68</v>
      </c>
      <c r="S16" s="2" t="s">
        <v>69</v>
      </c>
      <c r="T16" s="2" t="s">
        <v>105</v>
      </c>
    </row>
    <row r="17" spans="3:20" x14ac:dyDescent="0.2">
      <c r="C17" s="1">
        <f t="shared" si="0"/>
        <v>21</v>
      </c>
      <c r="D17" s="2" t="s">
        <v>4</v>
      </c>
      <c r="E17" s="2" t="s">
        <v>29</v>
      </c>
      <c r="F17" s="2" t="s">
        <v>30</v>
      </c>
      <c r="G17" s="2" t="s">
        <v>31</v>
      </c>
      <c r="J17" s="4">
        <f t="shared" si="1"/>
        <v>21</v>
      </c>
      <c r="K17" s="2" t="s">
        <v>4</v>
      </c>
      <c r="L17" s="2" t="s">
        <v>141</v>
      </c>
      <c r="M17" s="2" t="s">
        <v>142</v>
      </c>
      <c r="N17" s="2" t="s">
        <v>143</v>
      </c>
      <c r="P17" s="3">
        <f t="shared" si="2"/>
        <v>21</v>
      </c>
      <c r="Q17" s="2" t="s">
        <v>4</v>
      </c>
      <c r="R17" s="2" t="s">
        <v>70</v>
      </c>
      <c r="S17" s="2" t="s">
        <v>71</v>
      </c>
      <c r="T17" s="2" t="s">
        <v>106</v>
      </c>
    </row>
    <row r="18" spans="3:20" x14ac:dyDescent="0.2">
      <c r="C18" s="1">
        <f t="shared" si="0"/>
        <v>23</v>
      </c>
      <c r="D18" s="2" t="s">
        <v>4</v>
      </c>
      <c r="E18" s="2" t="s">
        <v>32</v>
      </c>
      <c r="F18" s="2" t="s">
        <v>33</v>
      </c>
      <c r="G18" s="2" t="s">
        <v>34</v>
      </c>
      <c r="J18" s="4">
        <f t="shared" si="1"/>
        <v>23</v>
      </c>
      <c r="K18" s="2" t="s">
        <v>4</v>
      </c>
      <c r="L18" s="2" t="s">
        <v>144</v>
      </c>
      <c r="M18" s="2" t="s">
        <v>47</v>
      </c>
      <c r="N18" s="2" t="s">
        <v>145</v>
      </c>
      <c r="P18" s="3">
        <f t="shared" si="2"/>
        <v>23</v>
      </c>
      <c r="Q18" s="2" t="s">
        <v>4</v>
      </c>
      <c r="R18" s="2" t="s">
        <v>72</v>
      </c>
      <c r="S18" s="2" t="s">
        <v>73</v>
      </c>
      <c r="T18" s="2" t="s">
        <v>107</v>
      </c>
    </row>
    <row r="19" spans="3:20" x14ac:dyDescent="0.2">
      <c r="C19" s="1">
        <f t="shared" si="0"/>
        <v>25</v>
      </c>
      <c r="D19" s="2" t="s">
        <v>4</v>
      </c>
      <c r="E19" s="2" t="s">
        <v>35</v>
      </c>
      <c r="F19" s="2" t="s">
        <v>36</v>
      </c>
      <c r="G19" s="2" t="s">
        <v>37</v>
      </c>
      <c r="J19" s="4">
        <f t="shared" si="1"/>
        <v>25</v>
      </c>
      <c r="K19" s="2" t="s">
        <v>4</v>
      </c>
      <c r="L19" s="2" t="s">
        <v>146</v>
      </c>
      <c r="M19" s="2" t="s">
        <v>147</v>
      </c>
      <c r="N19" s="2" t="s">
        <v>148</v>
      </c>
      <c r="P19" s="3">
        <f t="shared" si="2"/>
        <v>25</v>
      </c>
      <c r="Q19" s="2" t="s">
        <v>4</v>
      </c>
      <c r="R19" s="2" t="s">
        <v>74</v>
      </c>
      <c r="S19" s="2" t="s">
        <v>75</v>
      </c>
      <c r="T19" s="2" t="s">
        <v>108</v>
      </c>
    </row>
    <row r="20" spans="3:20" x14ac:dyDescent="0.2">
      <c r="C20" s="1">
        <f t="shared" si="0"/>
        <v>27</v>
      </c>
      <c r="D20" s="2" t="s">
        <v>4</v>
      </c>
      <c r="E20" s="2" t="s">
        <v>38</v>
      </c>
      <c r="F20" s="2" t="s">
        <v>39</v>
      </c>
      <c r="G20" s="2" t="s">
        <v>40</v>
      </c>
      <c r="J20" s="4">
        <f t="shared" si="1"/>
        <v>27</v>
      </c>
      <c r="K20" s="2" t="s">
        <v>4</v>
      </c>
      <c r="L20" s="2" t="s">
        <v>149</v>
      </c>
      <c r="M20" s="2" t="s">
        <v>150</v>
      </c>
      <c r="N20" s="2" t="s">
        <v>151</v>
      </c>
      <c r="P20" s="3">
        <f t="shared" si="2"/>
        <v>27</v>
      </c>
      <c r="Q20" s="2" t="s">
        <v>4</v>
      </c>
      <c r="R20" s="2" t="s">
        <v>76</v>
      </c>
      <c r="S20" s="2" t="s">
        <v>77</v>
      </c>
      <c r="T20" s="2" t="s">
        <v>109</v>
      </c>
    </row>
    <row r="21" spans="3:20" x14ac:dyDescent="0.2">
      <c r="C21" s="1">
        <f t="shared" si="0"/>
        <v>29</v>
      </c>
      <c r="D21" s="2" t="s">
        <v>4</v>
      </c>
      <c r="E21" s="2" t="s">
        <v>41</v>
      </c>
      <c r="F21" s="2" t="s">
        <v>42</v>
      </c>
      <c r="G21" s="2" t="s">
        <v>43</v>
      </c>
      <c r="J21" s="4">
        <f t="shared" si="1"/>
        <v>29</v>
      </c>
      <c r="K21" s="2" t="s">
        <v>4</v>
      </c>
      <c r="L21" s="2" t="s">
        <v>152</v>
      </c>
      <c r="M21" s="2" t="s">
        <v>153</v>
      </c>
      <c r="N21" s="2" t="s">
        <v>154</v>
      </c>
      <c r="P21" s="3">
        <f t="shared" si="2"/>
        <v>29</v>
      </c>
      <c r="Q21" s="2" t="s">
        <v>4</v>
      </c>
      <c r="R21" s="2" t="s">
        <v>78</v>
      </c>
      <c r="S21" s="2" t="s">
        <v>79</v>
      </c>
      <c r="T21" s="2" t="s">
        <v>110</v>
      </c>
    </row>
    <row r="22" spans="3:20" x14ac:dyDescent="0.2">
      <c r="J22" s="4">
        <f t="shared" si="1"/>
        <v>31</v>
      </c>
      <c r="K22" s="2" t="s">
        <v>4</v>
      </c>
      <c r="L22" s="2" t="s">
        <v>155</v>
      </c>
      <c r="M22" s="2" t="s">
        <v>48</v>
      </c>
      <c r="N22" s="2" t="s">
        <v>156</v>
      </c>
      <c r="P22" s="3">
        <f t="shared" si="2"/>
        <v>31</v>
      </c>
      <c r="Q22" s="2" t="s">
        <v>4</v>
      </c>
      <c r="R22" s="2" t="s">
        <v>80</v>
      </c>
      <c r="S22" s="2" t="s">
        <v>81</v>
      </c>
      <c r="T22" s="2" t="s">
        <v>111</v>
      </c>
    </row>
    <row r="23" spans="3:20" x14ac:dyDescent="0.2">
      <c r="C23" s="5" t="s">
        <v>219</v>
      </c>
      <c r="D23" s="5"/>
      <c r="E23" s="5"/>
      <c r="F23" s="5"/>
      <c r="G23" s="5"/>
      <c r="H23" s="5"/>
      <c r="J23" s="4">
        <f t="shared" si="1"/>
        <v>33</v>
      </c>
      <c r="K23" s="2" t="s">
        <v>4</v>
      </c>
      <c r="L23" s="2" t="s">
        <v>157</v>
      </c>
      <c r="M23" s="2" t="s">
        <v>158</v>
      </c>
      <c r="N23" s="2" t="s">
        <v>159</v>
      </c>
      <c r="P23" s="3">
        <f t="shared" si="2"/>
        <v>33</v>
      </c>
      <c r="Q23" s="2" t="s">
        <v>4</v>
      </c>
      <c r="R23" s="2" t="s">
        <v>82</v>
      </c>
      <c r="S23" s="2" t="s">
        <v>83</v>
      </c>
      <c r="T23" s="2" t="s">
        <v>112</v>
      </c>
    </row>
    <row r="24" spans="3:20" x14ac:dyDescent="0.2">
      <c r="C24" s="1" t="s">
        <v>97</v>
      </c>
      <c r="D24" s="1" t="s">
        <v>0</v>
      </c>
      <c r="E24" s="1" t="s">
        <v>1</v>
      </c>
      <c r="F24" s="1" t="s">
        <v>2</v>
      </c>
      <c r="G24" s="1" t="s">
        <v>3</v>
      </c>
      <c r="J24" s="4">
        <f t="shared" si="1"/>
        <v>35</v>
      </c>
      <c r="K24" s="2" t="s">
        <v>4</v>
      </c>
      <c r="L24" s="2" t="s">
        <v>160</v>
      </c>
      <c r="M24" s="2" t="s">
        <v>161</v>
      </c>
      <c r="N24" s="2" t="s">
        <v>162</v>
      </c>
      <c r="P24" s="3">
        <f t="shared" si="2"/>
        <v>35</v>
      </c>
      <c r="Q24" s="2" t="s">
        <v>4</v>
      </c>
      <c r="R24" s="2" t="s">
        <v>84</v>
      </c>
      <c r="S24" s="2" t="s">
        <v>85</v>
      </c>
      <c r="T24" s="2" t="s">
        <v>113</v>
      </c>
    </row>
    <row r="25" spans="3:20" x14ac:dyDescent="0.2">
      <c r="C25" s="1">
        <v>5</v>
      </c>
      <c r="D25" s="2" t="s">
        <v>4</v>
      </c>
      <c r="E25" s="2" t="s">
        <v>180</v>
      </c>
      <c r="F25" s="2" t="s">
        <v>181</v>
      </c>
      <c r="G25" s="2" t="s">
        <v>182</v>
      </c>
      <c r="J25" s="4">
        <f t="shared" si="1"/>
        <v>37</v>
      </c>
      <c r="K25" s="2" t="s">
        <v>4</v>
      </c>
      <c r="L25" s="2" t="s">
        <v>163</v>
      </c>
      <c r="M25" s="2" t="s">
        <v>49</v>
      </c>
      <c r="N25" s="2" t="s">
        <v>164</v>
      </c>
      <c r="P25" s="3">
        <f t="shared" si="2"/>
        <v>37</v>
      </c>
      <c r="Q25" s="2" t="s">
        <v>4</v>
      </c>
      <c r="R25" s="2" t="s">
        <v>86</v>
      </c>
      <c r="S25" s="2" t="s">
        <v>87</v>
      </c>
      <c r="T25" s="2" t="s">
        <v>114</v>
      </c>
    </row>
    <row r="26" spans="3:20" x14ac:dyDescent="0.2">
      <c r="C26" s="1">
        <f>C25+2</f>
        <v>7</v>
      </c>
      <c r="D26" s="2" t="s">
        <v>4</v>
      </c>
      <c r="E26" s="2" t="s">
        <v>183</v>
      </c>
      <c r="F26" s="2" t="s">
        <v>184</v>
      </c>
      <c r="G26" s="2" t="s">
        <v>185</v>
      </c>
      <c r="J26" s="4">
        <f t="shared" si="1"/>
        <v>39</v>
      </c>
      <c r="K26" s="2" t="s">
        <v>4</v>
      </c>
      <c r="L26" s="2" t="s">
        <v>165</v>
      </c>
      <c r="M26" s="2" t="s">
        <v>166</v>
      </c>
      <c r="N26" s="2" t="s">
        <v>167</v>
      </c>
      <c r="P26" s="3">
        <f t="shared" si="2"/>
        <v>39</v>
      </c>
      <c r="Q26" s="2" t="s">
        <v>4</v>
      </c>
      <c r="R26" s="2" t="s">
        <v>88</v>
      </c>
      <c r="S26" s="2" t="s">
        <v>89</v>
      </c>
      <c r="T26" s="2" t="s">
        <v>115</v>
      </c>
    </row>
    <row r="27" spans="3:20" x14ac:dyDescent="0.2">
      <c r="C27" s="1">
        <f t="shared" ref="C27:C37" si="3">C26+2</f>
        <v>9</v>
      </c>
      <c r="D27" s="2" t="s">
        <v>4</v>
      </c>
      <c r="E27" s="2" t="s">
        <v>186</v>
      </c>
      <c r="F27" s="2" t="s">
        <v>187</v>
      </c>
      <c r="G27" s="2" t="s">
        <v>188</v>
      </c>
      <c r="J27" s="4">
        <f t="shared" si="1"/>
        <v>41</v>
      </c>
      <c r="K27" s="2" t="s">
        <v>4</v>
      </c>
      <c r="L27" s="2" t="s">
        <v>168</v>
      </c>
      <c r="M27" s="2" t="s">
        <v>169</v>
      </c>
      <c r="N27" s="2" t="s">
        <v>170</v>
      </c>
      <c r="P27" s="3">
        <f t="shared" si="2"/>
        <v>41</v>
      </c>
      <c r="Q27" s="2" t="s">
        <v>4</v>
      </c>
      <c r="R27" s="2" t="s">
        <v>90</v>
      </c>
      <c r="S27" s="2" t="s">
        <v>91</v>
      </c>
      <c r="T27" s="2" t="s">
        <v>116</v>
      </c>
    </row>
    <row r="28" spans="3:20" x14ac:dyDescent="0.2">
      <c r="C28" s="1">
        <f t="shared" si="3"/>
        <v>11</v>
      </c>
      <c r="D28" s="2" t="s">
        <v>4</v>
      </c>
      <c r="E28" s="2" t="s">
        <v>189</v>
      </c>
      <c r="F28" s="2" t="s">
        <v>190</v>
      </c>
      <c r="G28" s="2" t="s">
        <v>191</v>
      </c>
      <c r="J28" s="4">
        <f t="shared" si="1"/>
        <v>43</v>
      </c>
      <c r="K28" s="2" t="s">
        <v>4</v>
      </c>
      <c r="L28" s="2" t="s">
        <v>171</v>
      </c>
      <c r="M28" s="2" t="s">
        <v>172</v>
      </c>
      <c r="N28" s="2" t="s">
        <v>173</v>
      </c>
      <c r="P28" s="3">
        <f t="shared" si="2"/>
        <v>43</v>
      </c>
      <c r="Q28" s="2" t="s">
        <v>4</v>
      </c>
      <c r="R28" s="2" t="s">
        <v>92</v>
      </c>
      <c r="S28" s="2" t="s">
        <v>93</v>
      </c>
      <c r="T28" s="2" t="s">
        <v>117</v>
      </c>
    </row>
    <row r="29" spans="3:20" x14ac:dyDescent="0.2">
      <c r="C29" s="1">
        <f t="shared" si="3"/>
        <v>13</v>
      </c>
      <c r="D29" s="2" t="s">
        <v>4</v>
      </c>
      <c r="E29" s="2" t="s">
        <v>192</v>
      </c>
      <c r="F29" s="2" t="s">
        <v>193</v>
      </c>
      <c r="G29" s="2" t="s">
        <v>194</v>
      </c>
      <c r="J29" s="4">
        <f t="shared" si="1"/>
        <v>45</v>
      </c>
      <c r="K29" s="2" t="s">
        <v>4</v>
      </c>
      <c r="L29" s="2" t="s">
        <v>174</v>
      </c>
      <c r="M29" s="2" t="s">
        <v>50</v>
      </c>
      <c r="N29" s="2" t="s">
        <v>175</v>
      </c>
      <c r="P29" s="3">
        <f t="shared" si="2"/>
        <v>45</v>
      </c>
      <c r="Q29" s="2" t="s">
        <v>4</v>
      </c>
      <c r="R29" s="2" t="s">
        <v>94</v>
      </c>
      <c r="S29" s="2" t="s">
        <v>95</v>
      </c>
      <c r="T29" s="2" t="s">
        <v>118</v>
      </c>
    </row>
    <row r="30" spans="3:20" x14ac:dyDescent="0.2">
      <c r="C30" s="1">
        <f t="shared" si="3"/>
        <v>15</v>
      </c>
      <c r="D30" s="2" t="s">
        <v>4</v>
      </c>
      <c r="E30" s="2" t="s">
        <v>195</v>
      </c>
      <c r="F30" s="2" t="s">
        <v>196</v>
      </c>
      <c r="G30" s="2" t="s">
        <v>197</v>
      </c>
      <c r="J30" s="4">
        <f t="shared" si="1"/>
        <v>47</v>
      </c>
      <c r="K30" s="2" t="s">
        <v>4</v>
      </c>
      <c r="L30" s="2" t="s">
        <v>176</v>
      </c>
      <c r="M30" s="2" t="s">
        <v>51</v>
      </c>
      <c r="N30" s="2" t="s">
        <v>177</v>
      </c>
      <c r="P30" s="1"/>
    </row>
    <row r="31" spans="3:20" x14ac:dyDescent="0.2">
      <c r="C31" s="1">
        <f t="shared" si="3"/>
        <v>17</v>
      </c>
      <c r="D31" s="2" t="s">
        <v>4</v>
      </c>
      <c r="E31" s="2" t="s">
        <v>198</v>
      </c>
      <c r="F31" s="2" t="s">
        <v>199</v>
      </c>
      <c r="G31" s="2" t="s">
        <v>200</v>
      </c>
      <c r="J31" s="4">
        <f t="shared" si="1"/>
        <v>49</v>
      </c>
      <c r="K31" s="2" t="s">
        <v>4</v>
      </c>
      <c r="L31" s="2" t="s">
        <v>178</v>
      </c>
      <c r="M31" s="2" t="s">
        <v>52</v>
      </c>
      <c r="N31" s="2" t="s">
        <v>179</v>
      </c>
      <c r="P31" s="1"/>
    </row>
    <row r="32" spans="3:20" x14ac:dyDescent="0.2">
      <c r="C32" s="1">
        <f t="shared" si="3"/>
        <v>19</v>
      </c>
      <c r="D32" s="2" t="s">
        <v>4</v>
      </c>
      <c r="E32" s="2" t="s">
        <v>201</v>
      </c>
      <c r="F32" s="2" t="s">
        <v>202</v>
      </c>
      <c r="G32" s="2" t="s">
        <v>203</v>
      </c>
    </row>
    <row r="33" spans="3:20" x14ac:dyDescent="0.2">
      <c r="C33" s="1">
        <f t="shared" si="3"/>
        <v>21</v>
      </c>
      <c r="D33" s="2" t="s">
        <v>4</v>
      </c>
      <c r="E33" s="2" t="s">
        <v>204</v>
      </c>
      <c r="F33" s="2" t="s">
        <v>205</v>
      </c>
      <c r="G33" s="2" t="s">
        <v>206</v>
      </c>
    </row>
    <row r="34" spans="3:20" x14ac:dyDescent="0.2">
      <c r="C34" s="1">
        <f t="shared" si="3"/>
        <v>23</v>
      </c>
      <c r="D34" s="2" t="s">
        <v>4</v>
      </c>
      <c r="E34" s="2" t="s">
        <v>207</v>
      </c>
      <c r="F34" s="2" t="s">
        <v>208</v>
      </c>
      <c r="G34" s="2" t="s">
        <v>209</v>
      </c>
      <c r="J34" s="1" t="s">
        <v>97</v>
      </c>
      <c r="K34" s="1" t="s">
        <v>0</v>
      </c>
      <c r="L34" s="1" t="s">
        <v>1</v>
      </c>
      <c r="M34" s="1" t="s">
        <v>2</v>
      </c>
      <c r="N34" s="1" t="s">
        <v>3</v>
      </c>
      <c r="P34" s="1" t="s">
        <v>97</v>
      </c>
      <c r="Q34" s="1" t="s">
        <v>0</v>
      </c>
      <c r="R34" s="1" t="s">
        <v>1</v>
      </c>
      <c r="S34" s="1" t="s">
        <v>2</v>
      </c>
      <c r="T34" s="1" t="s">
        <v>3</v>
      </c>
    </row>
    <row r="35" spans="3:20" x14ac:dyDescent="0.2">
      <c r="C35" s="1">
        <f t="shared" si="3"/>
        <v>25</v>
      </c>
      <c r="D35" s="2" t="s">
        <v>4</v>
      </c>
      <c r="E35" s="2" t="s">
        <v>210</v>
      </c>
      <c r="F35" s="2" t="s">
        <v>211</v>
      </c>
      <c r="G35" s="2" t="s">
        <v>212</v>
      </c>
      <c r="J35" s="4">
        <v>5</v>
      </c>
      <c r="K35" s="2" t="s">
        <v>4</v>
      </c>
      <c r="L35" s="2" t="s">
        <v>283</v>
      </c>
      <c r="M35" s="2" t="s">
        <v>284</v>
      </c>
      <c r="N35" s="2" t="s">
        <v>285</v>
      </c>
      <c r="P35" s="4">
        <v>5</v>
      </c>
      <c r="Q35" s="2" t="s">
        <v>4</v>
      </c>
      <c r="R35" s="2" t="s">
        <v>220</v>
      </c>
      <c r="S35" s="2" t="s">
        <v>221</v>
      </c>
      <c r="T35" s="2" t="s">
        <v>222</v>
      </c>
    </row>
    <row r="36" spans="3:20" x14ac:dyDescent="0.2">
      <c r="C36" s="1">
        <f t="shared" si="3"/>
        <v>27</v>
      </c>
      <c r="D36" s="2" t="s">
        <v>4</v>
      </c>
      <c r="E36" s="2" t="s">
        <v>213</v>
      </c>
      <c r="F36" s="2" t="s">
        <v>214</v>
      </c>
      <c r="G36" s="2" t="s">
        <v>215</v>
      </c>
      <c r="J36" s="4">
        <f>J35+2</f>
        <v>7</v>
      </c>
      <c r="K36" s="2" t="s">
        <v>4</v>
      </c>
      <c r="L36" s="2" t="s">
        <v>286</v>
      </c>
      <c r="M36" s="2" t="s">
        <v>287</v>
      </c>
      <c r="N36" s="2" t="s">
        <v>288</v>
      </c>
      <c r="P36" s="4">
        <f>P35+2</f>
        <v>7</v>
      </c>
      <c r="Q36" s="2" t="s">
        <v>4</v>
      </c>
      <c r="R36" s="2" t="s">
        <v>223</v>
      </c>
      <c r="S36" s="2" t="s">
        <v>224</v>
      </c>
      <c r="T36" s="2" t="s">
        <v>225</v>
      </c>
    </row>
    <row r="37" spans="3:20" x14ac:dyDescent="0.2">
      <c r="C37" s="1">
        <f t="shared" si="3"/>
        <v>29</v>
      </c>
      <c r="D37" s="2" t="s">
        <v>4</v>
      </c>
      <c r="E37" s="2" t="s">
        <v>216</v>
      </c>
      <c r="F37" s="2" t="s">
        <v>217</v>
      </c>
      <c r="G37" s="2" t="s">
        <v>218</v>
      </c>
      <c r="J37" s="4">
        <f t="shared" ref="J37:J57" si="4">J36+2</f>
        <v>9</v>
      </c>
      <c r="K37" s="2" t="s">
        <v>4</v>
      </c>
      <c r="L37" s="2" t="s">
        <v>289</v>
      </c>
      <c r="M37" s="2" t="s">
        <v>290</v>
      </c>
      <c r="N37" s="2" t="s">
        <v>291</v>
      </c>
      <c r="P37" s="4">
        <f t="shared" ref="P37:P55" si="5">P36+2</f>
        <v>9</v>
      </c>
      <c r="Q37" s="2" t="s">
        <v>4</v>
      </c>
      <c r="R37" s="2" t="s">
        <v>226</v>
      </c>
      <c r="S37" s="2" t="s">
        <v>227</v>
      </c>
      <c r="T37" s="2" t="s">
        <v>228</v>
      </c>
    </row>
    <row r="38" spans="3:20" x14ac:dyDescent="0.2">
      <c r="J38" s="4">
        <f t="shared" si="4"/>
        <v>11</v>
      </c>
      <c r="K38" s="2" t="s">
        <v>4</v>
      </c>
      <c r="L38" s="2" t="s">
        <v>292</v>
      </c>
      <c r="M38" s="2" t="s">
        <v>293</v>
      </c>
      <c r="N38" s="2" t="s">
        <v>294</v>
      </c>
      <c r="P38" s="4">
        <f t="shared" si="5"/>
        <v>11</v>
      </c>
      <c r="Q38" s="2" t="s">
        <v>4</v>
      </c>
      <c r="R38" s="2" t="s">
        <v>229</v>
      </c>
      <c r="S38" s="2" t="s">
        <v>230</v>
      </c>
      <c r="T38" s="2" t="s">
        <v>231</v>
      </c>
    </row>
    <row r="39" spans="3:20" x14ac:dyDescent="0.2">
      <c r="J39" s="4">
        <f t="shared" si="4"/>
        <v>13</v>
      </c>
      <c r="K39" s="2" t="s">
        <v>4</v>
      </c>
      <c r="L39" s="2" t="s">
        <v>295</v>
      </c>
      <c r="M39" s="2" t="s">
        <v>296</v>
      </c>
      <c r="N39" s="2" t="s">
        <v>297</v>
      </c>
      <c r="P39" s="4">
        <f t="shared" si="5"/>
        <v>13</v>
      </c>
      <c r="Q39" s="2" t="s">
        <v>4</v>
      </c>
      <c r="R39" s="2" t="s">
        <v>232</v>
      </c>
      <c r="S39" s="2" t="s">
        <v>233</v>
      </c>
      <c r="T39" s="2" t="s">
        <v>234</v>
      </c>
    </row>
    <row r="40" spans="3:20" x14ac:dyDescent="0.2">
      <c r="J40" s="4">
        <f t="shared" si="4"/>
        <v>15</v>
      </c>
      <c r="K40" s="2" t="s">
        <v>4</v>
      </c>
      <c r="L40" s="2" t="s">
        <v>298</v>
      </c>
      <c r="M40" s="2" t="s">
        <v>299</v>
      </c>
      <c r="N40" s="2" t="s">
        <v>300</v>
      </c>
      <c r="P40" s="4">
        <f t="shared" si="5"/>
        <v>15</v>
      </c>
      <c r="Q40" s="2" t="s">
        <v>4</v>
      </c>
      <c r="R40" s="2" t="s">
        <v>235</v>
      </c>
      <c r="S40" s="2" t="s">
        <v>236</v>
      </c>
      <c r="T40" s="2" t="s">
        <v>237</v>
      </c>
    </row>
    <row r="41" spans="3:20" x14ac:dyDescent="0.2">
      <c r="J41" s="4">
        <f t="shared" si="4"/>
        <v>17</v>
      </c>
      <c r="K41" s="2" t="s">
        <v>4</v>
      </c>
      <c r="L41" s="2" t="s">
        <v>301</v>
      </c>
      <c r="M41" s="2" t="s">
        <v>302</v>
      </c>
      <c r="N41" s="2" t="s">
        <v>303</v>
      </c>
      <c r="P41" s="4">
        <f t="shared" si="5"/>
        <v>17</v>
      </c>
      <c r="Q41" s="2" t="s">
        <v>4</v>
      </c>
      <c r="R41" s="2" t="s">
        <v>238</v>
      </c>
      <c r="S41" s="2" t="s">
        <v>239</v>
      </c>
      <c r="T41" s="2" t="s">
        <v>240</v>
      </c>
    </row>
    <row r="42" spans="3:20" x14ac:dyDescent="0.2">
      <c r="J42" s="4">
        <f t="shared" si="4"/>
        <v>19</v>
      </c>
      <c r="K42" s="2" t="s">
        <v>4</v>
      </c>
      <c r="L42" s="2" t="s">
        <v>304</v>
      </c>
      <c r="M42" s="2" t="s">
        <v>305</v>
      </c>
      <c r="N42" s="2" t="s">
        <v>306</v>
      </c>
      <c r="P42" s="4">
        <f t="shared" si="5"/>
        <v>19</v>
      </c>
      <c r="Q42" s="2" t="s">
        <v>4</v>
      </c>
      <c r="R42" s="2" t="s">
        <v>241</v>
      </c>
      <c r="S42" s="2" t="s">
        <v>242</v>
      </c>
      <c r="T42" s="2" t="s">
        <v>243</v>
      </c>
    </row>
    <row r="43" spans="3:20" x14ac:dyDescent="0.2">
      <c r="J43" s="4">
        <f t="shared" si="4"/>
        <v>21</v>
      </c>
      <c r="K43" s="2" t="s">
        <v>4</v>
      </c>
      <c r="L43" s="2" t="s">
        <v>307</v>
      </c>
      <c r="M43" s="2" t="s">
        <v>308</v>
      </c>
      <c r="N43" s="2" t="s">
        <v>309</v>
      </c>
      <c r="P43" s="4">
        <f t="shared" si="5"/>
        <v>21</v>
      </c>
      <c r="Q43" s="2" t="s">
        <v>4</v>
      </c>
      <c r="R43" s="2" t="s">
        <v>244</v>
      </c>
      <c r="S43" s="2" t="s">
        <v>245</v>
      </c>
      <c r="T43" s="2" t="s">
        <v>246</v>
      </c>
    </row>
    <row r="44" spans="3:20" x14ac:dyDescent="0.2">
      <c r="J44" s="4">
        <f t="shared" si="4"/>
        <v>23</v>
      </c>
      <c r="K44" s="2" t="s">
        <v>4</v>
      </c>
      <c r="L44" s="2" t="s">
        <v>310</v>
      </c>
      <c r="M44" s="2" t="s">
        <v>311</v>
      </c>
      <c r="N44" s="2" t="s">
        <v>312</v>
      </c>
      <c r="P44" s="4">
        <f t="shared" si="5"/>
        <v>23</v>
      </c>
      <c r="Q44" s="2" t="s">
        <v>4</v>
      </c>
      <c r="R44" s="2" t="s">
        <v>247</v>
      </c>
      <c r="S44" s="2" t="s">
        <v>248</v>
      </c>
      <c r="T44" s="2" t="s">
        <v>249</v>
      </c>
    </row>
    <row r="45" spans="3:20" x14ac:dyDescent="0.2">
      <c r="J45" s="4">
        <f t="shared" si="4"/>
        <v>25</v>
      </c>
      <c r="K45" s="2" t="s">
        <v>4</v>
      </c>
      <c r="L45" s="2" t="s">
        <v>313</v>
      </c>
      <c r="M45" s="2" t="s">
        <v>314</v>
      </c>
      <c r="N45" s="2" t="s">
        <v>315</v>
      </c>
      <c r="P45" s="4">
        <f t="shared" si="5"/>
        <v>25</v>
      </c>
      <c r="Q45" s="2" t="s">
        <v>4</v>
      </c>
      <c r="R45" s="2" t="s">
        <v>250</v>
      </c>
      <c r="S45" s="2" t="s">
        <v>251</v>
      </c>
      <c r="T45" s="2" t="s">
        <v>252</v>
      </c>
    </row>
    <row r="46" spans="3:20" x14ac:dyDescent="0.2">
      <c r="J46" s="4">
        <f t="shared" si="4"/>
        <v>27</v>
      </c>
      <c r="K46" s="2" t="s">
        <v>4</v>
      </c>
      <c r="L46" s="2" t="s">
        <v>316</v>
      </c>
      <c r="M46" s="2" t="s">
        <v>317</v>
      </c>
      <c r="N46" s="2" t="s">
        <v>318</v>
      </c>
      <c r="P46" s="4">
        <f t="shared" si="5"/>
        <v>27</v>
      </c>
      <c r="Q46" s="2" t="s">
        <v>4</v>
      </c>
      <c r="R46" s="2" t="s">
        <v>253</v>
      </c>
      <c r="S46" s="2" t="s">
        <v>254</v>
      </c>
      <c r="T46" s="2" t="s">
        <v>255</v>
      </c>
    </row>
    <row r="47" spans="3:20" x14ac:dyDescent="0.2">
      <c r="J47" s="4">
        <f t="shared" si="4"/>
        <v>29</v>
      </c>
      <c r="K47" s="2" t="s">
        <v>4</v>
      </c>
      <c r="L47" s="2" t="s">
        <v>319</v>
      </c>
      <c r="M47" s="2" t="s">
        <v>320</v>
      </c>
      <c r="N47" s="2" t="s">
        <v>321</v>
      </c>
      <c r="P47" s="4">
        <f t="shared" si="5"/>
        <v>29</v>
      </c>
      <c r="Q47" s="2" t="s">
        <v>4</v>
      </c>
      <c r="R47" s="2" t="s">
        <v>256</v>
      </c>
      <c r="S47" s="2" t="s">
        <v>257</v>
      </c>
      <c r="T47" s="2" t="s">
        <v>258</v>
      </c>
    </row>
    <row r="48" spans="3:20" x14ac:dyDescent="0.2">
      <c r="J48" s="4">
        <f t="shared" si="4"/>
        <v>31</v>
      </c>
      <c r="K48" s="2" t="s">
        <v>4</v>
      </c>
      <c r="L48" s="2" t="s">
        <v>322</v>
      </c>
      <c r="M48" s="2" t="s">
        <v>323</v>
      </c>
      <c r="N48" s="2" t="s">
        <v>324</v>
      </c>
      <c r="P48" s="4">
        <f t="shared" si="5"/>
        <v>31</v>
      </c>
      <c r="Q48" s="2" t="s">
        <v>4</v>
      </c>
      <c r="R48" s="2" t="s">
        <v>259</v>
      </c>
      <c r="S48" s="2" t="s">
        <v>260</v>
      </c>
      <c r="T48" s="2" t="s">
        <v>261</v>
      </c>
    </row>
    <row r="49" spans="10:20" x14ac:dyDescent="0.2">
      <c r="J49" s="4">
        <f t="shared" si="4"/>
        <v>33</v>
      </c>
      <c r="K49" s="2" t="s">
        <v>4</v>
      </c>
      <c r="L49" s="2" t="s">
        <v>325</v>
      </c>
      <c r="M49" s="2" t="s">
        <v>326</v>
      </c>
      <c r="N49" s="2" t="s">
        <v>327</v>
      </c>
      <c r="P49" s="4">
        <f t="shared" si="5"/>
        <v>33</v>
      </c>
      <c r="Q49" s="2" t="s">
        <v>4</v>
      </c>
      <c r="R49" s="2" t="s">
        <v>262</v>
      </c>
      <c r="S49" s="2" t="s">
        <v>263</v>
      </c>
      <c r="T49" s="2" t="s">
        <v>264</v>
      </c>
    </row>
    <row r="50" spans="10:20" x14ac:dyDescent="0.2">
      <c r="J50" s="4">
        <f t="shared" si="4"/>
        <v>35</v>
      </c>
      <c r="K50" s="2" t="s">
        <v>4</v>
      </c>
      <c r="L50" s="2" t="s">
        <v>328</v>
      </c>
      <c r="M50" s="2" t="s">
        <v>329</v>
      </c>
      <c r="N50" s="2" t="s">
        <v>330</v>
      </c>
      <c r="P50" s="4">
        <f t="shared" si="5"/>
        <v>35</v>
      </c>
      <c r="Q50" s="2" t="s">
        <v>4</v>
      </c>
      <c r="R50" s="2" t="s">
        <v>265</v>
      </c>
      <c r="S50" s="2" t="s">
        <v>266</v>
      </c>
      <c r="T50" s="2" t="s">
        <v>267</v>
      </c>
    </row>
    <row r="51" spans="10:20" x14ac:dyDescent="0.2">
      <c r="J51" s="4">
        <f t="shared" si="4"/>
        <v>37</v>
      </c>
      <c r="K51" s="2" t="s">
        <v>4</v>
      </c>
      <c r="L51" s="2" t="s">
        <v>331</v>
      </c>
      <c r="M51" s="2" t="s">
        <v>332</v>
      </c>
      <c r="N51" s="2" t="s">
        <v>333</v>
      </c>
      <c r="P51" s="4">
        <f t="shared" si="5"/>
        <v>37</v>
      </c>
      <c r="Q51" s="2" t="s">
        <v>4</v>
      </c>
      <c r="R51" s="2" t="s">
        <v>268</v>
      </c>
      <c r="S51" s="2" t="s">
        <v>269</v>
      </c>
      <c r="T51" s="2" t="s">
        <v>270</v>
      </c>
    </row>
    <row r="52" spans="10:20" x14ac:dyDescent="0.2">
      <c r="J52" s="4">
        <f t="shared" si="4"/>
        <v>39</v>
      </c>
      <c r="K52" s="2" t="s">
        <v>4</v>
      </c>
      <c r="L52" s="2" t="s">
        <v>334</v>
      </c>
      <c r="M52" s="2" t="s">
        <v>335</v>
      </c>
      <c r="N52" s="2" t="s">
        <v>336</v>
      </c>
      <c r="P52" s="4">
        <f t="shared" si="5"/>
        <v>39</v>
      </c>
      <c r="Q52" s="2" t="s">
        <v>4</v>
      </c>
      <c r="R52" s="2" t="s">
        <v>271</v>
      </c>
      <c r="S52" s="2" t="s">
        <v>272</v>
      </c>
      <c r="T52" s="2" t="s">
        <v>273</v>
      </c>
    </row>
    <row r="53" spans="10:20" x14ac:dyDescent="0.2">
      <c r="J53" s="4">
        <f t="shared" si="4"/>
        <v>41</v>
      </c>
      <c r="K53" s="2" t="s">
        <v>4</v>
      </c>
      <c r="L53" s="2" t="s">
        <v>337</v>
      </c>
      <c r="M53" s="2" t="s">
        <v>338</v>
      </c>
      <c r="N53" s="2" t="s">
        <v>339</v>
      </c>
      <c r="P53" s="4">
        <f t="shared" si="5"/>
        <v>41</v>
      </c>
      <c r="Q53" s="2" t="s">
        <v>4</v>
      </c>
      <c r="R53" s="2" t="s">
        <v>274</v>
      </c>
      <c r="S53" s="2" t="s">
        <v>275</v>
      </c>
      <c r="T53" s="2" t="s">
        <v>276</v>
      </c>
    </row>
    <row r="54" spans="10:20" x14ac:dyDescent="0.2">
      <c r="J54" s="4">
        <f t="shared" si="4"/>
        <v>43</v>
      </c>
      <c r="K54" s="2" t="s">
        <v>4</v>
      </c>
      <c r="L54" s="2" t="s">
        <v>340</v>
      </c>
      <c r="M54" s="2" t="s">
        <v>341</v>
      </c>
      <c r="N54" s="2" t="s">
        <v>342</v>
      </c>
      <c r="P54" s="4">
        <f t="shared" si="5"/>
        <v>43</v>
      </c>
      <c r="Q54" s="2" t="s">
        <v>4</v>
      </c>
      <c r="R54" s="2" t="s">
        <v>277</v>
      </c>
      <c r="S54" s="2" t="s">
        <v>278</v>
      </c>
      <c r="T54" s="2" t="s">
        <v>279</v>
      </c>
    </row>
    <row r="55" spans="10:20" x14ac:dyDescent="0.2">
      <c r="J55" s="4">
        <f t="shared" si="4"/>
        <v>45</v>
      </c>
      <c r="K55" s="2" t="s">
        <v>4</v>
      </c>
      <c r="L55" s="2" t="s">
        <v>343</v>
      </c>
      <c r="M55" s="2" t="s">
        <v>344</v>
      </c>
      <c r="N55" s="2" t="s">
        <v>345</v>
      </c>
      <c r="P55" s="4">
        <f t="shared" si="5"/>
        <v>45</v>
      </c>
      <c r="Q55" s="2" t="s">
        <v>4</v>
      </c>
      <c r="R55" s="2" t="s">
        <v>280</v>
      </c>
      <c r="S55" s="2" t="s">
        <v>281</v>
      </c>
      <c r="T55" s="2" t="s">
        <v>282</v>
      </c>
    </row>
    <row r="56" spans="10:20" x14ac:dyDescent="0.2">
      <c r="J56" s="4">
        <f t="shared" si="4"/>
        <v>47</v>
      </c>
      <c r="K56" s="2" t="s">
        <v>4</v>
      </c>
      <c r="L56" s="2" t="s">
        <v>346</v>
      </c>
      <c r="M56" s="2" t="s">
        <v>347</v>
      </c>
      <c r="N56" s="2" t="s">
        <v>348</v>
      </c>
      <c r="P56" s="1"/>
      <c r="Q56" s="2"/>
      <c r="R56" s="2"/>
      <c r="S56" s="2"/>
      <c r="T56" s="2"/>
    </row>
    <row r="57" spans="10:20" x14ac:dyDescent="0.2">
      <c r="J57" s="4">
        <f t="shared" si="4"/>
        <v>49</v>
      </c>
      <c r="K57" s="2" t="s">
        <v>4</v>
      </c>
      <c r="L57" s="2" t="s">
        <v>349</v>
      </c>
      <c r="M57" s="2" t="s">
        <v>350</v>
      </c>
      <c r="N57" s="2" t="s">
        <v>351</v>
      </c>
      <c r="P57" s="1"/>
      <c r="Q57" s="2"/>
      <c r="R57" s="2"/>
      <c r="S57" s="2"/>
      <c r="T57" s="2"/>
    </row>
  </sheetData>
  <mergeCells count="4">
    <mergeCell ref="C7:H7"/>
    <mergeCell ref="J7:O7"/>
    <mergeCell ref="P7:U7"/>
    <mergeCell ref="C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Шимко</dc:creator>
  <cp:lastModifiedBy>Павел Шимко</cp:lastModifiedBy>
  <dcterms:created xsi:type="dcterms:W3CDTF">2026-02-28T22:00:48Z</dcterms:created>
  <dcterms:modified xsi:type="dcterms:W3CDTF">2026-03-03T05:43:25Z</dcterms:modified>
</cp:coreProperties>
</file>