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22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pavelsimko/Documents/cube/"/>
    </mc:Choice>
  </mc:AlternateContent>
  <xr:revisionPtr revIDLastSave="0" documentId="13_ncr:1_{E6ED5719-FD7F-5047-A143-EE33C964A1A5}" xr6:coauthVersionLast="47" xr6:coauthVersionMax="47" xr10:uidLastSave="{00000000-0000-0000-0000-000000000000}"/>
  <bookViews>
    <workbookView xWindow="4420" yWindow="660" windowWidth="24980" windowHeight="16660" xr2:uid="{F9370C83-3CBF-B948-9E81-E47FD604D939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36" i="1" l="1"/>
  <c r="P37" i="1" s="1"/>
  <c r="P38" i="1" s="1"/>
  <c r="P39" i="1" s="1"/>
  <c r="P40" i="1" s="1"/>
  <c r="P41" i="1" s="1"/>
  <c r="P42" i="1" s="1"/>
  <c r="P43" i="1" s="1"/>
  <c r="P44" i="1" s="1"/>
  <c r="P45" i="1" s="1"/>
  <c r="P46" i="1" s="1"/>
  <c r="P47" i="1" s="1"/>
  <c r="P48" i="1" s="1"/>
  <c r="P49" i="1" s="1"/>
  <c r="P50" i="1" s="1"/>
  <c r="P51" i="1" s="1"/>
  <c r="P52" i="1" s="1"/>
  <c r="P53" i="1" s="1"/>
  <c r="P54" i="1" s="1"/>
  <c r="P55" i="1" s="1"/>
  <c r="P10" i="1"/>
  <c r="P11" i="1" s="1"/>
  <c r="P12" i="1" s="1"/>
  <c r="P13" i="1" s="1"/>
  <c r="P14" i="1" s="1"/>
  <c r="P15" i="1" s="1"/>
  <c r="P16" i="1" s="1"/>
  <c r="P17" i="1" s="1"/>
  <c r="P18" i="1" s="1"/>
  <c r="P19" i="1" s="1"/>
  <c r="P20" i="1" s="1"/>
  <c r="P21" i="1" s="1"/>
  <c r="P22" i="1" s="1"/>
  <c r="P23" i="1" s="1"/>
  <c r="P24" i="1" s="1"/>
  <c r="P25" i="1" s="1"/>
  <c r="P26" i="1" s="1"/>
  <c r="P27" i="1" s="1"/>
  <c r="P28" i="1" s="1"/>
  <c r="P29" i="1" s="1"/>
  <c r="J36" i="1"/>
  <c r="J37" i="1" s="1"/>
  <c r="J38" i="1" s="1"/>
  <c r="J39" i="1" s="1"/>
  <c r="J40" i="1" s="1"/>
  <c r="J41" i="1" s="1"/>
  <c r="J42" i="1" s="1"/>
  <c r="J43" i="1" s="1"/>
  <c r="J44" i="1" s="1"/>
  <c r="J45" i="1" s="1"/>
  <c r="J46" i="1" s="1"/>
  <c r="J47" i="1" s="1"/>
  <c r="J48" i="1" s="1"/>
  <c r="J49" i="1" s="1"/>
  <c r="J50" i="1" s="1"/>
  <c r="J51" i="1" s="1"/>
  <c r="J52" i="1" s="1"/>
  <c r="J53" i="1" s="1"/>
  <c r="J54" i="1" s="1"/>
  <c r="J55" i="1" s="1"/>
  <c r="J56" i="1" s="1"/>
  <c r="J57" i="1" s="1"/>
  <c r="J10" i="1"/>
  <c r="J11" i="1" s="1"/>
  <c r="J12" i="1" s="1"/>
  <c r="J13" i="1" s="1"/>
  <c r="J14" i="1" s="1"/>
  <c r="J15" i="1" s="1"/>
  <c r="J16" i="1" s="1"/>
  <c r="J17" i="1" s="1"/>
  <c r="J18" i="1" s="1"/>
  <c r="J19" i="1" s="1"/>
  <c r="J20" i="1" s="1"/>
  <c r="J21" i="1" s="1"/>
  <c r="J22" i="1" s="1"/>
  <c r="J23" i="1" s="1"/>
  <c r="J24" i="1" s="1"/>
  <c r="J25" i="1" s="1"/>
  <c r="J26" i="1" s="1"/>
  <c r="J27" i="1" s="1"/>
  <c r="J28" i="1" s="1"/>
  <c r="J29" i="1" s="1"/>
  <c r="J30" i="1" s="1"/>
  <c r="J31" i="1" s="1"/>
  <c r="C26" i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10" i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</calcChain>
</file>

<file path=xl/sharedStrings.xml><?xml version="1.0" encoding="utf-8"?>
<sst xmlns="http://schemas.openxmlformats.org/spreadsheetml/2006/main" count="331" uniqueCount="188">
  <si>
    <t>Mode</t>
  </si>
  <si>
    <t>DUR (Max/Min)</t>
  </si>
  <si>
    <t>Total E (MeV)</t>
  </si>
  <si>
    <t>Efficiency (%)</t>
  </si>
  <si>
    <t>PDD</t>
  </si>
  <si>
    <t>489455.1695946206</t>
  </si>
  <si>
    <t>745442.3364627289</t>
  </si>
  <si>
    <t>1011820.3388688677</t>
  </si>
  <si>
    <t>1276445.6400697005</t>
  </si>
  <si>
    <t>1511575.9860425931</t>
  </si>
  <si>
    <t>1699013.0893181737</t>
  </si>
  <si>
    <t>1822609.6797868824</t>
  </si>
  <si>
    <t>1884828.8015364083</t>
  </si>
  <si>
    <t>1903150.3905802793</t>
  </si>
  <si>
    <t>1906058.20849988</t>
  </si>
  <si>
    <t>1906145.8724120858</t>
  </si>
  <si>
    <t>1907618.5441838864</t>
  </si>
  <si>
    <t>1906425.46468837</t>
  </si>
  <si>
    <t>1249032.0347648782</t>
  </si>
  <si>
    <t>1765106.7738615968</t>
  </si>
  <si>
    <t>2573108.217006918</t>
  </si>
  <si>
    <t>3550930.253437873</t>
  </si>
  <si>
    <t>4019238.575589472</t>
  </si>
  <si>
    <t>4208651.789621731</t>
  </si>
  <si>
    <t>4215310.330081707</t>
  </si>
  <si>
    <t>4212563.897780851</t>
  </si>
  <si>
    <t>5 Мэв  Материал: полипропилен (C₃H₆)ₙ.</t>
  </si>
  <si>
    <t>465187.15681231965</t>
  </si>
  <si>
    <t>690201.532808199</t>
  </si>
  <si>
    <t>951962.4729064957</t>
  </si>
  <si>
    <t>1218773.304594493</t>
  </si>
  <si>
    <t>1491498.3161463654</t>
  </si>
  <si>
    <t>1743434.4732827833</t>
  </si>
  <si>
    <t>1964461.507078485</t>
  </si>
  <si>
    <t>2139906.8838518397</t>
  </si>
  <si>
    <t>2261228.3971634116</t>
  </si>
  <si>
    <t>2330757.2279010224</t>
  </si>
  <si>
    <t>2360916.0966885686</t>
  </si>
  <si>
    <t>2367508.7241742127</t>
  </si>
  <si>
    <t>2366750.5923782885</t>
  </si>
  <si>
    <t>2372705.6814016537</t>
  </si>
  <si>
    <t>2373354.314963905</t>
  </si>
  <si>
    <t>2373139.347275447</t>
  </si>
  <si>
    <t>2372718.4036973184</t>
  </si>
  <si>
    <t>2372898.811181872</t>
  </si>
  <si>
    <t>2373807.5632952447</t>
  </si>
  <si>
    <t>2374857.525654385</t>
  </si>
  <si>
    <t>2374963.609296602</t>
  </si>
  <si>
    <t>3 Мэв  Материал: полипропилен (C₃H₆)ₙ.</t>
  </si>
  <si>
    <t>Толщина слоя в мм</t>
  </si>
  <si>
    <t>415319.02295965725</t>
  </si>
  <si>
    <t>601992.5421323257</t>
  </si>
  <si>
    <t>798483.5541213963</t>
  </si>
  <si>
    <t>1006490.1186275367</t>
  </si>
  <si>
    <t>1506054.5266423419</t>
  </si>
  <si>
    <t>2030395.3888987033</t>
  </si>
  <si>
    <t>2303644.421196253</t>
  </si>
  <si>
    <t>2836655.04987258</t>
  </si>
  <si>
    <t>3093530.5778491762</t>
  </si>
  <si>
    <t>3328315.163230122</t>
  </si>
  <si>
    <t>3741895.9328156672</t>
  </si>
  <si>
    <t>3897377.8898421936</t>
  </si>
  <si>
    <t>4106889.0049336664</t>
  </si>
  <si>
    <t>4163560.66423187</t>
  </si>
  <si>
    <t>4194673.303900691</t>
  </si>
  <si>
    <t>441218.53742170427</t>
  </si>
  <si>
    <t>676574.5710698318</t>
  </si>
  <si>
    <t>930744.1776359121</t>
  </si>
  <si>
    <t>1177563.6966581556</t>
  </si>
  <si>
    <t>1404774.3092883963</t>
  </si>
  <si>
    <t>1589660.784551292</t>
  </si>
  <si>
    <t>1731467.784693124</t>
  </si>
  <si>
    <t>1823814.8086848282</t>
  </si>
  <si>
    <t>1873025.8026537686</t>
  </si>
  <si>
    <t>1891422.9518032558</t>
  </si>
  <si>
    <t>1894313.9348039387</t>
  </si>
  <si>
    <t>1896178.903726813</t>
  </si>
  <si>
    <t>1895274.3971924507</t>
  </si>
  <si>
    <t>413993.62657862337</t>
  </si>
  <si>
    <t>619217.845600707</t>
  </si>
  <si>
    <t>861752.9456073144</t>
  </si>
  <si>
    <t>1113718.7016498188</t>
  </si>
  <si>
    <t>1367931.2493873676</t>
  </si>
  <si>
    <t>1611256.2845020702</t>
  </si>
  <si>
    <t>1823984.8450964394</t>
  </si>
  <si>
    <t>2005109.300540266</t>
  </si>
  <si>
    <t>2145183.397237351</t>
  </si>
  <si>
    <t>2245443.358103983</t>
  </si>
  <si>
    <t>2309084.406439623</t>
  </si>
  <si>
    <t>2340581.097048817</t>
  </si>
  <si>
    <t>2350103.964426391</t>
  </si>
  <si>
    <t>2357659.4371790905</t>
  </si>
  <si>
    <t>2358146.875421569</t>
  </si>
  <si>
    <t>2358114.252171805</t>
  </si>
  <si>
    <t>2357775.4162883046</t>
  </si>
  <si>
    <t>2357810.147659766</t>
  </si>
  <si>
    <t>2358712.059309407</t>
  </si>
  <si>
    <t>2360058.8214097978</t>
  </si>
  <si>
    <t>2360035.9735056083</t>
  </si>
  <si>
    <t>362035.43097124173</t>
  </si>
  <si>
    <t>526700.6044729613</t>
  </si>
  <si>
    <t>701548.9191427852</t>
  </si>
  <si>
    <t>887908.413453078</t>
  </si>
  <si>
    <t>1094308.9704465906</t>
  </si>
  <si>
    <t>1332019.5515865092</t>
  </si>
  <si>
    <t>1571448.7208405826</t>
  </si>
  <si>
    <t>1816035.1279919515</t>
  </si>
  <si>
    <t>2068085.9186111882</t>
  </si>
  <si>
    <t>2324015.576724064</t>
  </si>
  <si>
    <t>2574997.3730295952</t>
  </si>
  <si>
    <t>2817850.263606037</t>
  </si>
  <si>
    <t>3044662.5304114996</t>
  </si>
  <si>
    <t>3267633.573001895</t>
  </si>
  <si>
    <t>3463601.304560747</t>
  </si>
  <si>
    <t>3634989.8921125876</t>
  </si>
  <si>
    <t>3783025.71806232</t>
  </si>
  <si>
    <t>3904717.8558839555</t>
  </si>
  <si>
    <t>4000378.1700541265</t>
  </si>
  <si>
    <t>4072167.426380516</t>
  </si>
  <si>
    <t>4120347.9595148214</t>
  </si>
  <si>
    <t>4153529.081980141</t>
  </si>
  <si>
    <t>4166076.1136295707</t>
  </si>
  <si>
    <t>5 Мэв  Материал:PTFE (политетрафторэтилен)</t>
  </si>
  <si>
    <t>3 Мэв  Материал:PTFE (политетрафторэтилен)</t>
  </si>
  <si>
    <t>2.5 Мэв  Материал: полипропилен (C₃H₆)ₙ.</t>
  </si>
  <si>
    <t>15.68</t>
  </si>
  <si>
    <t>23.18</t>
  </si>
  <si>
    <t>31.47</t>
  </si>
  <si>
    <t>39.84</t>
  </si>
  <si>
    <t>48.32</t>
  </si>
  <si>
    <t>56.34</t>
  </si>
  <si>
    <t>63.42</t>
  </si>
  <si>
    <t>69.46</t>
  </si>
  <si>
    <t>74.12</t>
  </si>
  <si>
    <t>77.48</t>
  </si>
  <si>
    <t>79.58</t>
  </si>
  <si>
    <t>80.64</t>
  </si>
  <si>
    <t>80.96</t>
  </si>
  <si>
    <t>81.0</t>
  </si>
  <si>
    <t>81.02</t>
  </si>
  <si>
    <t>81.03</t>
  </si>
  <si>
    <t>81.01</t>
  </si>
  <si>
    <t>81.05</t>
  </si>
  <si>
    <t>81.09</t>
  </si>
  <si>
    <t>81.08</t>
  </si>
  <si>
    <t>19.91</t>
  </si>
  <si>
    <t>29.81</t>
  </si>
  <si>
    <t>39.98</t>
  </si>
  <si>
    <t>49.87</t>
  </si>
  <si>
    <t>58.97</t>
  </si>
  <si>
    <t>66.23</t>
  </si>
  <si>
    <t>71.9</t>
  </si>
  <si>
    <t>75.59</t>
  </si>
  <si>
    <t>77.55</t>
  </si>
  <si>
    <t>78.28</t>
  </si>
  <si>
    <t>78.41</t>
  </si>
  <si>
    <t>78.48</t>
  </si>
  <si>
    <t>78.46</t>
  </si>
  <si>
    <t>33.57</t>
  </si>
  <si>
    <t>44.27</t>
  </si>
  <si>
    <t>55.03</t>
  </si>
  <si>
    <t>64.72</t>
  </si>
  <si>
    <t>72.22</t>
  </si>
  <si>
    <t>77.0</t>
  </si>
  <si>
    <t>78.95</t>
  </si>
  <si>
    <t>79.28</t>
  </si>
  <si>
    <t>79.33</t>
  </si>
  <si>
    <t>79.34</t>
  </si>
  <si>
    <t>79.39</t>
  </si>
  <si>
    <t>79.36</t>
  </si>
  <si>
    <t>18.57</t>
  </si>
  <si>
    <t>26.93</t>
  </si>
  <si>
    <t>35.61</t>
  </si>
  <si>
    <t>44.57</t>
  </si>
  <si>
    <t>53.74</t>
  </si>
  <si>
    <t>62.22</t>
  </si>
  <si>
    <t>69.75</t>
  </si>
  <si>
    <t>75.65</t>
  </si>
  <si>
    <t>79.47</t>
  </si>
  <si>
    <t>81.37</t>
  </si>
  <si>
    <t>81.96</t>
  </si>
  <si>
    <t>82.03</t>
  </si>
  <si>
    <t>81.99</t>
  </si>
  <si>
    <t>81.97</t>
  </si>
  <si>
    <t>81.98</t>
  </si>
  <si>
    <t>82.0</t>
  </si>
  <si>
    <t>82.04</t>
  </si>
  <si>
    <t>2.5 Мэв  Материал:PTFE (политетрафторэтилен)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</si>
</sst>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Calibri"/>
      <family val="2"/>
      <charset val="204"/>
      <scheme val="minor"/>
    </font>
    <font>
      <sz val="10"/>
      <color rgb="FF000000"/>
      <name val="Helvetica Neue"/>
      <family val="2"/>
    </font>
    <font>
      <b/>
      <sz val="10"/>
      <color rgb="FF000000"/>
      <name val="Helvetica Neue"/>
      <family val="2"/>
    </font>
    <font>
      <sz val="12"/>
      <color rgb="FF000000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2" fillId="0" borderId="0" xfId="0" applyFont="1"/>
    <xf numFmtId="0" fontId="1" fillId="0" borderId="0" xfId="0" applyFont="1"/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3" fillId="0" borderId="0" xfId="0" applyFont="1" applyAlignment="1">
      <alignment horizontal="center"/>
    </xf>
    <xf numFmtId="2" fontId="1" fillId="0" borderId="0" xfId="0" applyNumberFormat="1" applyFont="1" applyAlignment="1">
      <alignment horizontal="center" vertical="top"/>
    </xf>
    <xf numFmtId="2" fontId="1" fillId="0" borderId="0" xfId="0" applyNumberFormat="1" applyFont="1" applyAlignment="1">
      <alignment horizontal="center"/>
    </xf>
    <xf numFmtId="0" fontId="1" fillId="0" borderId="0" xfId="0" applyFont="1" applyAlignment="1">
      <alignment horizontal="center"/>
    </xf>
    <xf numFmtId="16" fontId="1" fillId="0" borderId="0" xfId="0" applyNumberFormat="1" applyFont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8BFFB2-31BF-894D-A2C8-B981176CC2AE}">
  <dimension ref="C7:U57"/>
  <sheetViews>
    <sheetView tabSelected="1" topLeftCell="I1" zoomScale="108" workbookViewId="0">
      <selection activeCell="I15" sqref="I15"/>
    </sheetView>
  </sheetViews>
  <sheetFormatPr baseColWidth="10" defaultRowHeight="16" x14ac:dyDescent="0.2"/>
  <cols>
    <col min="3" max="3" width="19.83203125" customWidth="1"/>
    <col min="4" max="4" width="6.1640625" customWidth="1"/>
    <col min="5" max="5" width="23.5" customWidth="1"/>
    <col min="6" max="6" width="20.6640625" customWidth="1"/>
    <col min="10" max="10" width="17.1640625" customWidth="1"/>
    <col min="11" max="11" width="5.33203125" customWidth="1"/>
    <col min="12" max="12" width="21.6640625" customWidth="1"/>
    <col min="13" max="14" width="20.5" customWidth="1"/>
    <col min="16" max="16" width="17" customWidth="1"/>
    <col min="17" max="17" width="6" customWidth="1"/>
    <col min="18" max="18" width="19.5" customWidth="1"/>
    <col min="19" max="19" width="18.5" customWidth="1"/>
    <col min="20" max="20" width="19" customWidth="1"/>
  </cols>
  <sheetData>
    <row r="7" spans="3:21" x14ac:dyDescent="0.2">
      <c r="C7" s="5" t="s">
        <v>124</v>
      </c>
      <c r="D7" s="5"/>
      <c r="E7" s="5"/>
      <c r="F7" s="5"/>
      <c r="G7" s="5"/>
      <c r="H7" s="5"/>
      <c r="J7" s="5" t="s">
        <v>26</v>
      </c>
      <c r="K7" s="5"/>
      <c r="L7" s="5"/>
      <c r="M7" s="5"/>
      <c r="N7" s="5"/>
      <c r="O7" s="5"/>
      <c r="P7" s="5" t="s">
        <v>48</v>
      </c>
      <c r="Q7" s="5"/>
      <c r="R7" s="5"/>
      <c r="S7" s="5"/>
      <c r="T7" s="5"/>
      <c r="U7" s="5"/>
    </row>
    <row r="8" spans="3:21" x14ac:dyDescent="0.2">
      <c r="C8" s="1" t="s">
        <v>49</v>
      </c>
      <c r="D8" s="1" t="s">
        <v>0</v>
      </c>
      <c r="E8" s="1" t="s">
        <v>1</v>
      </c>
      <c r="F8" s="1" t="s">
        <v>2</v>
      </c>
      <c r="G8" s="1" t="s">
        <v>3</v>
      </c>
      <c r="J8" s="1" t="s">
        <v>49</v>
      </c>
      <c r="K8" s="1" t="s">
        <v>0</v>
      </c>
      <c r="L8" s="1" t="s">
        <v>1</v>
      </c>
      <c r="M8" s="1" t="s">
        <v>2</v>
      </c>
      <c r="N8" s="1" t="s">
        <v>3</v>
      </c>
      <c r="P8" s="1" t="s">
        <v>49</v>
      </c>
      <c r="Q8" s="1" t="s">
        <v>0</v>
      </c>
      <c r="R8" s="1" t="s">
        <v>1</v>
      </c>
      <c r="S8" s="1" t="s">
        <v>2</v>
      </c>
      <c r="T8" s="1" t="s">
        <v>3</v>
      </c>
    </row>
    <row r="9" spans="3:21" x14ac:dyDescent="0.2">
      <c r="C9" s="1">
        <v>5</v>
      </c>
      <c r="D9" s="2" t="s">
        <v>4</v>
      </c>
      <c r="E9" s="8">
        <v>1.294</v>
      </c>
      <c r="F9" s="2" t="s">
        <v>5</v>
      </c>
      <c r="G9" s="10">
        <v>46288</v>
      </c>
      <c r="J9" s="4">
        <v>5</v>
      </c>
      <c r="K9" s="2" t="s">
        <v>4</v>
      </c>
      <c r="L9" s="7">
        <v>1.0760000000000001</v>
      </c>
      <c r="M9" s="2" t="s">
        <v>50</v>
      </c>
      <c r="N9" s="8">
        <v>10.27</v>
      </c>
      <c r="P9" s="3">
        <v>5</v>
      </c>
      <c r="Q9" s="2" t="s">
        <v>4</v>
      </c>
      <c r="R9" s="8">
        <v>1.208</v>
      </c>
      <c r="S9" s="2" t="s">
        <v>27</v>
      </c>
      <c r="T9" s="9" t="s">
        <v>170</v>
      </c>
    </row>
    <row r="10" spans="3:21" x14ac:dyDescent="0.2">
      <c r="C10" s="1">
        <f>C9+2</f>
        <v>7</v>
      </c>
      <c r="D10" s="2" t="s">
        <v>4</v>
      </c>
      <c r="E10" s="8">
        <v>1.51</v>
      </c>
      <c r="F10" s="2" t="s">
        <v>6</v>
      </c>
      <c r="G10" s="2" t="s">
        <v>158</v>
      </c>
      <c r="J10" s="4">
        <f>J9+2</f>
        <v>7</v>
      </c>
      <c r="K10" s="2" t="s">
        <v>4</v>
      </c>
      <c r="L10" s="7">
        <v>1.1020000000000001</v>
      </c>
      <c r="M10" s="2" t="s">
        <v>51</v>
      </c>
      <c r="N10" s="8">
        <v>14.69</v>
      </c>
      <c r="P10" s="3">
        <f>P9+2</f>
        <v>7</v>
      </c>
      <c r="Q10" s="2" t="s">
        <v>4</v>
      </c>
      <c r="R10" s="8">
        <v>1.361</v>
      </c>
      <c r="S10" s="2" t="s">
        <v>28</v>
      </c>
      <c r="T10" s="9" t="s">
        <v>171</v>
      </c>
    </row>
    <row r="11" spans="3:21" x14ac:dyDescent="0.2">
      <c r="C11" s="1">
        <f t="shared" ref="C11:C21" si="0">C10+2</f>
        <v>9</v>
      </c>
      <c r="D11" s="2" t="s">
        <v>4</v>
      </c>
      <c r="E11" s="8">
        <v>1.597</v>
      </c>
      <c r="F11" s="2" t="s">
        <v>7</v>
      </c>
      <c r="G11" s="2" t="s">
        <v>159</v>
      </c>
      <c r="J11" s="4">
        <f t="shared" ref="J11:J31" si="1">J10+2</f>
        <v>9</v>
      </c>
      <c r="K11" s="2" t="s">
        <v>4</v>
      </c>
      <c r="L11" s="7">
        <v>1.135</v>
      </c>
      <c r="M11" s="2" t="s">
        <v>52</v>
      </c>
      <c r="N11" s="8">
        <v>19.27</v>
      </c>
      <c r="P11" s="3">
        <f t="shared" ref="P11:P29" si="2">P10+2</f>
        <v>9</v>
      </c>
      <c r="Q11" s="2" t="s">
        <v>4</v>
      </c>
      <c r="R11" s="8">
        <v>1.492</v>
      </c>
      <c r="S11" s="2" t="s">
        <v>29</v>
      </c>
      <c r="T11" s="9" t="s">
        <v>172</v>
      </c>
    </row>
    <row r="12" spans="3:21" x14ac:dyDescent="0.2">
      <c r="C12" s="1">
        <f t="shared" si="0"/>
        <v>11</v>
      </c>
      <c r="D12" s="2" t="s">
        <v>4</v>
      </c>
      <c r="E12" s="8">
        <v>1.5840000000000001</v>
      </c>
      <c r="F12" s="2" t="s">
        <v>8</v>
      </c>
      <c r="G12" s="2" t="s">
        <v>160</v>
      </c>
      <c r="J12" s="4">
        <f t="shared" si="1"/>
        <v>11</v>
      </c>
      <c r="K12" s="2" t="s">
        <v>4</v>
      </c>
      <c r="L12" s="7">
        <v>1.1879999999999999</v>
      </c>
      <c r="M12" s="2" t="s">
        <v>53</v>
      </c>
      <c r="N12" s="8">
        <v>24.01</v>
      </c>
      <c r="P12" s="3">
        <f t="shared" si="2"/>
        <v>11</v>
      </c>
      <c r="Q12" s="2" t="s">
        <v>4</v>
      </c>
      <c r="R12" s="8">
        <v>1.5609999999999999</v>
      </c>
      <c r="S12" s="2" t="s">
        <v>30</v>
      </c>
      <c r="T12" s="9" t="s">
        <v>173</v>
      </c>
    </row>
    <row r="13" spans="3:21" x14ac:dyDescent="0.2">
      <c r="C13" s="1">
        <f t="shared" si="0"/>
        <v>13</v>
      </c>
      <c r="D13" s="2" t="s">
        <v>4</v>
      </c>
      <c r="E13" s="8">
        <v>1.4550000000000001</v>
      </c>
      <c r="F13" s="2" t="s">
        <v>9</v>
      </c>
      <c r="G13" s="2" t="s">
        <v>161</v>
      </c>
      <c r="J13" s="4">
        <f t="shared" si="1"/>
        <v>13</v>
      </c>
      <c r="K13" s="2" t="s">
        <v>4</v>
      </c>
      <c r="L13" s="7">
        <v>1.2490000000000001</v>
      </c>
      <c r="M13" s="2" t="s">
        <v>18</v>
      </c>
      <c r="N13" s="8">
        <v>29.04</v>
      </c>
      <c r="P13" s="3">
        <f t="shared" si="2"/>
        <v>13</v>
      </c>
      <c r="Q13" s="2" t="s">
        <v>4</v>
      </c>
      <c r="R13" s="8">
        <v>1.5820000000000001</v>
      </c>
      <c r="S13" s="2" t="s">
        <v>31</v>
      </c>
      <c r="T13" s="9" t="s">
        <v>174</v>
      </c>
    </row>
    <row r="14" spans="3:21" x14ac:dyDescent="0.2">
      <c r="C14" s="1">
        <f t="shared" si="0"/>
        <v>15</v>
      </c>
      <c r="D14" s="2" t="s">
        <v>4</v>
      </c>
      <c r="E14" s="8">
        <v>1.43</v>
      </c>
      <c r="F14" s="2" t="s">
        <v>10</v>
      </c>
      <c r="G14" s="2" t="s">
        <v>162</v>
      </c>
      <c r="J14" s="4">
        <f t="shared" si="1"/>
        <v>15</v>
      </c>
      <c r="K14" s="2" t="s">
        <v>4</v>
      </c>
      <c r="L14" s="7">
        <v>1.29</v>
      </c>
      <c r="M14" s="2" t="s">
        <v>54</v>
      </c>
      <c r="N14" s="8">
        <v>34.14</v>
      </c>
      <c r="P14" s="3">
        <f t="shared" si="2"/>
        <v>15</v>
      </c>
      <c r="Q14" s="2" t="s">
        <v>4</v>
      </c>
      <c r="R14" s="8">
        <v>1.498</v>
      </c>
      <c r="S14" s="2" t="s">
        <v>32</v>
      </c>
      <c r="T14" s="9" t="s">
        <v>175</v>
      </c>
    </row>
    <row r="15" spans="3:21" x14ac:dyDescent="0.2">
      <c r="C15" s="1">
        <f t="shared" si="0"/>
        <v>17</v>
      </c>
      <c r="D15" s="2" t="s">
        <v>4</v>
      </c>
      <c r="E15" s="8">
        <v>2.1059999999999999</v>
      </c>
      <c r="F15" s="2" t="s">
        <v>11</v>
      </c>
      <c r="G15" s="2" t="s">
        <v>163</v>
      </c>
      <c r="J15" s="4">
        <f t="shared" si="1"/>
        <v>17</v>
      </c>
      <c r="K15" s="2" t="s">
        <v>4</v>
      </c>
      <c r="L15" s="7">
        <v>1.331</v>
      </c>
      <c r="M15" s="2" t="s">
        <v>19</v>
      </c>
      <c r="N15" s="8">
        <v>39.39</v>
      </c>
      <c r="P15" s="3">
        <f t="shared" si="2"/>
        <v>17</v>
      </c>
      <c r="Q15" s="2" t="s">
        <v>4</v>
      </c>
      <c r="R15" s="8">
        <v>1.4279999999999999</v>
      </c>
      <c r="S15" s="2" t="s">
        <v>33</v>
      </c>
      <c r="T15" s="9" t="s">
        <v>176</v>
      </c>
    </row>
    <row r="16" spans="3:21" x14ac:dyDescent="0.2">
      <c r="C16" s="1">
        <f t="shared" si="0"/>
        <v>19</v>
      </c>
      <c r="D16" s="2" t="s">
        <v>4</v>
      </c>
      <c r="E16" s="8">
        <v>4.9980000000000002</v>
      </c>
      <c r="F16" s="2" t="s">
        <v>12</v>
      </c>
      <c r="G16" s="2" t="s">
        <v>164</v>
      </c>
      <c r="J16" s="4">
        <f t="shared" si="1"/>
        <v>19</v>
      </c>
      <c r="K16" s="2" t="s">
        <v>4</v>
      </c>
      <c r="L16" s="7">
        <v>1.3740000000000001</v>
      </c>
      <c r="M16" s="2" t="s">
        <v>55</v>
      </c>
      <c r="N16" s="8">
        <v>44.83</v>
      </c>
      <c r="P16" s="3">
        <f t="shared" si="2"/>
        <v>19</v>
      </c>
      <c r="Q16" s="2" t="s">
        <v>4</v>
      </c>
      <c r="R16" s="8">
        <v>1.4430000000000001</v>
      </c>
      <c r="S16" s="2" t="s">
        <v>34</v>
      </c>
      <c r="T16" s="9" t="s">
        <v>177</v>
      </c>
    </row>
    <row r="17" spans="3:20" x14ac:dyDescent="0.2">
      <c r="C17" s="1">
        <f t="shared" si="0"/>
        <v>21</v>
      </c>
      <c r="D17" s="2" t="s">
        <v>4</v>
      </c>
      <c r="E17" s="8">
        <v>31.138000000000002</v>
      </c>
      <c r="F17" s="2" t="s">
        <v>13</v>
      </c>
      <c r="G17" s="2" t="s">
        <v>165</v>
      </c>
      <c r="J17" s="4">
        <f t="shared" si="1"/>
        <v>21</v>
      </c>
      <c r="K17" s="2" t="s">
        <v>4</v>
      </c>
      <c r="L17" s="7">
        <v>1.4139999999999999</v>
      </c>
      <c r="M17" s="2" t="s">
        <v>56</v>
      </c>
      <c r="N17" s="8">
        <v>50.31</v>
      </c>
      <c r="P17" s="3">
        <f t="shared" si="2"/>
        <v>21</v>
      </c>
      <c r="Q17" s="2" t="s">
        <v>4</v>
      </c>
      <c r="R17" s="8">
        <v>2.14</v>
      </c>
      <c r="S17" s="2" t="s">
        <v>35</v>
      </c>
      <c r="T17" s="9" t="s">
        <v>178</v>
      </c>
    </row>
    <row r="18" spans="3:20" x14ac:dyDescent="0.2">
      <c r="C18" s="1">
        <f t="shared" si="0"/>
        <v>23</v>
      </c>
      <c r="D18" s="2" t="s">
        <v>4</v>
      </c>
      <c r="E18" s="8">
        <v>727.34100000000001</v>
      </c>
      <c r="F18" s="2" t="s">
        <v>14</v>
      </c>
      <c r="G18" s="2" t="s">
        <v>166</v>
      </c>
      <c r="J18" s="4">
        <f t="shared" si="1"/>
        <v>23</v>
      </c>
      <c r="K18" s="2" t="s">
        <v>4</v>
      </c>
      <c r="L18" s="7">
        <v>1.419</v>
      </c>
      <c r="M18" s="2" t="s">
        <v>20</v>
      </c>
      <c r="N18" s="8">
        <v>55.74</v>
      </c>
      <c r="P18" s="3">
        <f t="shared" si="2"/>
        <v>23</v>
      </c>
      <c r="Q18" s="2" t="s">
        <v>4</v>
      </c>
      <c r="R18" s="8">
        <v>4.0979999999999999</v>
      </c>
      <c r="S18" s="2" t="s">
        <v>36</v>
      </c>
      <c r="T18" s="9" t="s">
        <v>179</v>
      </c>
    </row>
    <row r="19" spans="3:20" x14ac:dyDescent="0.2">
      <c r="C19" s="1">
        <f t="shared" si="0"/>
        <v>25</v>
      </c>
      <c r="D19" s="2" t="s">
        <v>4</v>
      </c>
      <c r="E19" s="8">
        <v>2733.65</v>
      </c>
      <c r="F19" s="2" t="s">
        <v>15</v>
      </c>
      <c r="G19" s="2" t="s">
        <v>167</v>
      </c>
      <c r="J19" s="4">
        <f t="shared" si="1"/>
        <v>25</v>
      </c>
      <c r="K19" s="2" t="s">
        <v>4</v>
      </c>
      <c r="L19" s="7">
        <v>1.41</v>
      </c>
      <c r="M19" s="2" t="s">
        <v>57</v>
      </c>
      <c r="N19" s="8">
        <v>61.11</v>
      </c>
      <c r="P19" s="3">
        <f t="shared" si="2"/>
        <v>25</v>
      </c>
      <c r="Q19" s="2" t="s">
        <v>4</v>
      </c>
      <c r="R19" s="8">
        <v>13.255000000000001</v>
      </c>
      <c r="S19" s="2" t="s">
        <v>37</v>
      </c>
      <c r="T19" s="9" t="s">
        <v>180</v>
      </c>
    </row>
    <row r="20" spans="3:20" x14ac:dyDescent="0.2">
      <c r="C20" s="1">
        <f t="shared" si="0"/>
        <v>27</v>
      </c>
      <c r="D20" s="2" t="s">
        <v>4</v>
      </c>
      <c r="E20" s="8">
        <v>2900.384</v>
      </c>
      <c r="F20" s="2" t="s">
        <v>16</v>
      </c>
      <c r="G20" s="2" t="s">
        <v>168</v>
      </c>
      <c r="J20" s="4">
        <f t="shared" si="1"/>
        <v>27</v>
      </c>
      <c r="K20" s="2" t="s">
        <v>4</v>
      </c>
      <c r="L20" s="7">
        <v>1.385</v>
      </c>
      <c r="M20" s="2" t="s">
        <v>58</v>
      </c>
      <c r="N20" s="8">
        <v>66.33</v>
      </c>
      <c r="P20" s="3">
        <f t="shared" si="2"/>
        <v>27</v>
      </c>
      <c r="Q20" s="2" t="s">
        <v>4</v>
      </c>
      <c r="R20" s="8">
        <v>103.06399999999999</v>
      </c>
      <c r="S20" s="2" t="s">
        <v>38</v>
      </c>
      <c r="T20" s="9" t="s">
        <v>181</v>
      </c>
    </row>
    <row r="21" spans="3:20" x14ac:dyDescent="0.2">
      <c r="C21" s="1">
        <f t="shared" si="0"/>
        <v>29</v>
      </c>
      <c r="D21" s="2" t="s">
        <v>4</v>
      </c>
      <c r="E21" s="8">
        <v>3379.0439999999999</v>
      </c>
      <c r="F21" s="2" t="s">
        <v>17</v>
      </c>
      <c r="G21" s="2" t="s">
        <v>169</v>
      </c>
      <c r="J21" s="4">
        <f t="shared" si="1"/>
        <v>29</v>
      </c>
      <c r="K21" s="2" t="s">
        <v>4</v>
      </c>
      <c r="L21" s="7">
        <v>1.353</v>
      </c>
      <c r="M21" s="2" t="s">
        <v>59</v>
      </c>
      <c r="N21" s="8">
        <v>71.099999999999994</v>
      </c>
      <c r="P21" s="3">
        <f t="shared" si="2"/>
        <v>29</v>
      </c>
      <c r="Q21" s="2" t="s">
        <v>4</v>
      </c>
      <c r="R21" s="8">
        <v>1498.8979999999999</v>
      </c>
      <c r="S21" s="2" t="s">
        <v>39</v>
      </c>
      <c r="T21" s="9" t="s">
        <v>182</v>
      </c>
    </row>
    <row r="22" spans="3:20" x14ac:dyDescent="0.2">
      <c r="J22" s="4">
        <f t="shared" si="1"/>
        <v>31</v>
      </c>
      <c r="K22" s="2" t="s">
        <v>4</v>
      </c>
      <c r="L22" s="7">
        <v>1.343</v>
      </c>
      <c r="M22" s="2" t="s">
        <v>21</v>
      </c>
      <c r="N22" s="8">
        <v>75.430000000000007</v>
      </c>
      <c r="P22" s="3">
        <f t="shared" si="2"/>
        <v>31</v>
      </c>
      <c r="Q22" s="2" t="s">
        <v>4</v>
      </c>
      <c r="R22" s="8">
        <v>2226.2950000000001</v>
      </c>
      <c r="S22" s="2" t="s">
        <v>40</v>
      </c>
      <c r="T22" s="9" t="s">
        <v>183</v>
      </c>
    </row>
    <row r="23" spans="3:20" x14ac:dyDescent="0.2">
      <c r="C23" s="5" t="s">
        <v>187</v>
      </c>
      <c r="D23" s="5"/>
      <c r="E23" s="5"/>
      <c r="F23" s="5"/>
      <c r="G23" s="5"/>
      <c r="H23" s="5"/>
      <c r="J23" s="4">
        <f t="shared" si="1"/>
        <v>33</v>
      </c>
      <c r="K23" s="2" t="s">
        <v>4</v>
      </c>
      <c r="L23" s="7">
        <v>1.339</v>
      </c>
      <c r="M23" s="2" t="s">
        <v>60</v>
      </c>
      <c r="N23" s="8">
        <v>79.22</v>
      </c>
      <c r="P23" s="3">
        <f t="shared" si="2"/>
        <v>33</v>
      </c>
      <c r="Q23" s="2" t="s">
        <v>4</v>
      </c>
      <c r="R23" s="8">
        <v>2469.491</v>
      </c>
      <c r="S23" s="2" t="s">
        <v>41</v>
      </c>
      <c r="T23" s="9" t="s">
        <v>182</v>
      </c>
    </row>
    <row r="24" spans="3:20" x14ac:dyDescent="0.2">
      <c r="C24" s="1" t="s">
        <v>49</v>
      </c>
      <c r="D24" s="1" t="s">
        <v>0</v>
      </c>
      <c r="E24" s="1" t="s">
        <v>1</v>
      </c>
      <c r="F24" s="1" t="s">
        <v>2</v>
      </c>
      <c r="G24" s="1" t="s">
        <v>3</v>
      </c>
      <c r="J24" s="4">
        <f t="shared" si="1"/>
        <v>35</v>
      </c>
      <c r="K24" s="2" t="s">
        <v>4</v>
      </c>
      <c r="L24" s="7">
        <v>1.49</v>
      </c>
      <c r="M24" s="2" t="s">
        <v>61</v>
      </c>
      <c r="N24" s="8">
        <v>82.22</v>
      </c>
      <c r="P24" s="3">
        <f t="shared" si="2"/>
        <v>35</v>
      </c>
      <c r="Q24" s="2" t="s">
        <v>4</v>
      </c>
      <c r="R24" s="8">
        <v>2399.5639999999999</v>
      </c>
      <c r="S24" s="2" t="s">
        <v>42</v>
      </c>
      <c r="T24" s="9" t="s">
        <v>182</v>
      </c>
    </row>
    <row r="25" spans="3:20" x14ac:dyDescent="0.2">
      <c r="C25" s="1">
        <v>5</v>
      </c>
      <c r="D25" s="2" t="s">
        <v>4</v>
      </c>
      <c r="E25" s="8">
        <v>1.3340000000000001</v>
      </c>
      <c r="F25" s="2" t="s">
        <v>65</v>
      </c>
      <c r="G25" s="2" t="s">
        <v>145</v>
      </c>
      <c r="J25" s="4">
        <f t="shared" si="1"/>
        <v>37</v>
      </c>
      <c r="K25" s="2" t="s">
        <v>4</v>
      </c>
      <c r="L25" s="7">
        <v>1.93</v>
      </c>
      <c r="M25" s="2" t="s">
        <v>22</v>
      </c>
      <c r="N25" s="8">
        <v>84.44</v>
      </c>
      <c r="P25" s="3">
        <f t="shared" si="2"/>
        <v>37</v>
      </c>
      <c r="Q25" s="2" t="s">
        <v>4</v>
      </c>
      <c r="R25" s="8">
        <v>2489.7629999999999</v>
      </c>
      <c r="S25" s="2" t="s">
        <v>43</v>
      </c>
      <c r="T25" s="9" t="s">
        <v>180</v>
      </c>
    </row>
    <row r="26" spans="3:20" x14ac:dyDescent="0.2">
      <c r="C26" s="1">
        <f>C25+2</f>
        <v>7</v>
      </c>
      <c r="D26" s="2" t="s">
        <v>4</v>
      </c>
      <c r="E26" s="8">
        <v>1.593</v>
      </c>
      <c r="F26" s="2" t="s">
        <v>66</v>
      </c>
      <c r="G26" s="2" t="s">
        <v>146</v>
      </c>
      <c r="J26" s="4">
        <f t="shared" si="1"/>
        <v>39</v>
      </c>
      <c r="K26" s="2" t="s">
        <v>4</v>
      </c>
      <c r="L26" s="7">
        <v>2.7189999999999999</v>
      </c>
      <c r="M26" s="2" t="s">
        <v>62</v>
      </c>
      <c r="N26" s="8">
        <v>85.92</v>
      </c>
      <c r="P26" s="3">
        <f t="shared" si="2"/>
        <v>39</v>
      </c>
      <c r="Q26" s="2" t="s">
        <v>4</v>
      </c>
      <c r="R26" s="8">
        <v>2665.067</v>
      </c>
      <c r="S26" s="2" t="s">
        <v>44</v>
      </c>
      <c r="T26" s="9" t="s">
        <v>184</v>
      </c>
    </row>
    <row r="27" spans="3:20" x14ac:dyDescent="0.2">
      <c r="C27" s="1">
        <f t="shared" ref="C27:C37" si="3">C26+2</f>
        <v>9</v>
      </c>
      <c r="D27" s="2" t="s">
        <v>4</v>
      </c>
      <c r="E27" s="8">
        <v>1.6890000000000001</v>
      </c>
      <c r="F27" s="2" t="s">
        <v>67</v>
      </c>
      <c r="G27" s="2" t="s">
        <v>147</v>
      </c>
      <c r="J27" s="4">
        <f t="shared" si="1"/>
        <v>41</v>
      </c>
      <c r="K27" s="2" t="s">
        <v>4</v>
      </c>
      <c r="L27" s="7">
        <v>4.4379999999999997</v>
      </c>
      <c r="M27" s="2" t="s">
        <v>63</v>
      </c>
      <c r="N27" s="8">
        <v>86.71</v>
      </c>
      <c r="P27" s="3">
        <f t="shared" si="2"/>
        <v>41</v>
      </c>
      <c r="Q27" s="2" t="s">
        <v>4</v>
      </c>
      <c r="R27" s="8">
        <v>2700.8580000000002</v>
      </c>
      <c r="S27" s="2" t="s">
        <v>45</v>
      </c>
      <c r="T27" s="9" t="s">
        <v>185</v>
      </c>
    </row>
    <row r="28" spans="3:20" x14ac:dyDescent="0.2">
      <c r="C28" s="1">
        <f t="shared" si="3"/>
        <v>11</v>
      </c>
      <c r="D28" s="2" t="s">
        <v>4</v>
      </c>
      <c r="E28" s="8">
        <v>1.649</v>
      </c>
      <c r="F28" s="2" t="s">
        <v>68</v>
      </c>
      <c r="G28" s="2" t="s">
        <v>148</v>
      </c>
      <c r="J28" s="4">
        <f t="shared" si="1"/>
        <v>43</v>
      </c>
      <c r="K28" s="2" t="s">
        <v>4</v>
      </c>
      <c r="L28" s="7">
        <v>8.9920000000000009</v>
      </c>
      <c r="M28" s="2" t="s">
        <v>64</v>
      </c>
      <c r="N28" s="8">
        <v>87.06</v>
      </c>
      <c r="P28" s="3">
        <f t="shared" si="2"/>
        <v>43</v>
      </c>
      <c r="Q28" s="2" t="s">
        <v>4</v>
      </c>
      <c r="R28" s="8">
        <v>2674.0369999999998</v>
      </c>
      <c r="S28" s="2" t="s">
        <v>46</v>
      </c>
      <c r="T28" s="9" t="s">
        <v>186</v>
      </c>
    </row>
    <row r="29" spans="3:20" x14ac:dyDescent="0.2">
      <c r="C29" s="1">
        <f t="shared" si="3"/>
        <v>13</v>
      </c>
      <c r="D29" s="2" t="s">
        <v>4</v>
      </c>
      <c r="E29" s="8">
        <v>1.5469999999999999</v>
      </c>
      <c r="F29" s="2" t="s">
        <v>69</v>
      </c>
      <c r="G29" s="2" t="s">
        <v>149</v>
      </c>
      <c r="J29" s="4">
        <f t="shared" si="1"/>
        <v>45</v>
      </c>
      <c r="K29" s="2" t="s">
        <v>4</v>
      </c>
      <c r="L29" s="7">
        <v>25.253</v>
      </c>
      <c r="M29" s="2" t="s">
        <v>23</v>
      </c>
      <c r="N29" s="8">
        <v>87.14</v>
      </c>
      <c r="P29" s="3">
        <f t="shared" si="2"/>
        <v>45</v>
      </c>
      <c r="Q29" s="2" t="s">
        <v>4</v>
      </c>
      <c r="R29" s="8">
        <v>2562.828</v>
      </c>
      <c r="S29" s="2" t="s">
        <v>47</v>
      </c>
      <c r="T29" s="9" t="s">
        <v>186</v>
      </c>
    </row>
    <row r="30" spans="3:20" x14ac:dyDescent="0.2">
      <c r="C30" s="1">
        <f t="shared" si="3"/>
        <v>15</v>
      </c>
      <c r="D30" s="2" t="s">
        <v>4</v>
      </c>
      <c r="E30" s="8">
        <v>1.52</v>
      </c>
      <c r="F30" s="2" t="s">
        <v>70</v>
      </c>
      <c r="G30" s="2" t="s">
        <v>150</v>
      </c>
      <c r="J30" s="4">
        <f t="shared" si="1"/>
        <v>47</v>
      </c>
      <c r="K30" s="2" t="s">
        <v>4</v>
      </c>
      <c r="L30" s="7">
        <v>106.964</v>
      </c>
      <c r="M30" s="2" t="s">
        <v>24</v>
      </c>
      <c r="N30" s="8">
        <v>87.21</v>
      </c>
      <c r="P30" s="1"/>
    </row>
    <row r="31" spans="3:20" x14ac:dyDescent="0.2">
      <c r="C31" s="1">
        <f t="shared" si="3"/>
        <v>17</v>
      </c>
      <c r="D31" s="2" t="s">
        <v>4</v>
      </c>
      <c r="E31" s="8">
        <v>1.645</v>
      </c>
      <c r="F31" s="2" t="s">
        <v>71</v>
      </c>
      <c r="G31" s="2" t="s">
        <v>151</v>
      </c>
      <c r="J31" s="4">
        <f t="shared" si="1"/>
        <v>49</v>
      </c>
      <c r="K31" s="2" t="s">
        <v>4</v>
      </c>
      <c r="L31" s="7">
        <v>512.35799999999995</v>
      </c>
      <c r="M31" s="2" t="s">
        <v>25</v>
      </c>
      <c r="N31" s="8">
        <v>87.13</v>
      </c>
      <c r="P31" s="1"/>
    </row>
    <row r="32" spans="3:20" x14ac:dyDescent="0.2">
      <c r="C32" s="1">
        <f t="shared" si="3"/>
        <v>19</v>
      </c>
      <c r="D32" s="2" t="s">
        <v>4</v>
      </c>
      <c r="E32" s="8">
        <v>2.5950000000000002</v>
      </c>
      <c r="F32" s="2" t="s">
        <v>72</v>
      </c>
      <c r="G32" s="2" t="s">
        <v>152</v>
      </c>
    </row>
    <row r="33" spans="3:21" x14ac:dyDescent="0.2">
      <c r="C33" s="1">
        <f t="shared" si="3"/>
        <v>21</v>
      </c>
      <c r="D33" s="2" t="s">
        <v>4</v>
      </c>
      <c r="E33" s="8">
        <v>4.9210000000000003</v>
      </c>
      <c r="F33" s="2" t="s">
        <v>73</v>
      </c>
      <c r="G33" s="2" t="s">
        <v>153</v>
      </c>
      <c r="J33" s="5" t="s">
        <v>122</v>
      </c>
      <c r="K33" s="5"/>
      <c r="L33" s="5"/>
      <c r="M33" s="5"/>
      <c r="N33" s="5"/>
      <c r="O33" s="5"/>
      <c r="P33" s="6" t="s">
        <v>123</v>
      </c>
      <c r="Q33" s="6"/>
      <c r="R33" s="6"/>
      <c r="S33" s="6"/>
      <c r="T33" s="6"/>
      <c r="U33" s="6"/>
    </row>
    <row r="34" spans="3:21" x14ac:dyDescent="0.2">
      <c r="C34" s="1">
        <f t="shared" si="3"/>
        <v>23</v>
      </c>
      <c r="D34" s="2" t="s">
        <v>4</v>
      </c>
      <c r="E34" s="8">
        <v>13.964</v>
      </c>
      <c r="F34" s="2" t="s">
        <v>74</v>
      </c>
      <c r="G34" s="2" t="s">
        <v>154</v>
      </c>
      <c r="J34" s="1" t="s">
        <v>49</v>
      </c>
      <c r="K34" s="1" t="s">
        <v>0</v>
      </c>
      <c r="L34" s="1" t="s">
        <v>1</v>
      </c>
      <c r="M34" s="1" t="s">
        <v>2</v>
      </c>
      <c r="N34" s="1" t="s">
        <v>3</v>
      </c>
      <c r="P34" s="1" t="s">
        <v>49</v>
      </c>
      <c r="Q34" s="1" t="s">
        <v>0</v>
      </c>
      <c r="R34" s="1" t="s">
        <v>1</v>
      </c>
      <c r="S34" s="1" t="s">
        <v>2</v>
      </c>
      <c r="T34" s="1" t="s">
        <v>3</v>
      </c>
    </row>
    <row r="35" spans="3:21" x14ac:dyDescent="0.2">
      <c r="C35" s="1">
        <f t="shared" si="3"/>
        <v>25</v>
      </c>
      <c r="D35" s="2" t="s">
        <v>4</v>
      </c>
      <c r="E35" s="8">
        <v>82.638999999999996</v>
      </c>
      <c r="F35" s="2" t="s">
        <v>75</v>
      </c>
      <c r="G35" s="2" t="s">
        <v>155</v>
      </c>
      <c r="J35" s="4">
        <v>5</v>
      </c>
      <c r="K35" s="2" t="s">
        <v>4</v>
      </c>
      <c r="L35" s="7">
        <v>1.0980000000000001</v>
      </c>
      <c r="M35" s="2" t="s">
        <v>99</v>
      </c>
      <c r="N35" s="8">
        <v>8.41</v>
      </c>
      <c r="P35" s="4">
        <v>5</v>
      </c>
      <c r="Q35" s="2" t="s">
        <v>4</v>
      </c>
      <c r="R35" s="8">
        <v>1.2330000000000001</v>
      </c>
      <c r="S35" s="2" t="s">
        <v>78</v>
      </c>
      <c r="T35" s="9" t="s">
        <v>125</v>
      </c>
    </row>
    <row r="36" spans="3:21" x14ac:dyDescent="0.2">
      <c r="C36" s="1">
        <f t="shared" si="3"/>
        <v>27</v>
      </c>
      <c r="D36" s="2" t="s">
        <v>4</v>
      </c>
      <c r="E36" s="8">
        <v>945.31399999999996</v>
      </c>
      <c r="F36" s="2" t="s">
        <v>76</v>
      </c>
      <c r="G36" s="2" t="s">
        <v>156</v>
      </c>
      <c r="J36" s="4">
        <f>J35+2</f>
        <v>7</v>
      </c>
      <c r="K36" s="2" t="s">
        <v>4</v>
      </c>
      <c r="L36" s="7">
        <v>1.1339999999999999</v>
      </c>
      <c r="M36" s="2" t="s">
        <v>100</v>
      </c>
      <c r="N36" s="8">
        <v>12.1</v>
      </c>
      <c r="P36" s="4">
        <f>P35+2</f>
        <v>7</v>
      </c>
      <c r="Q36" s="2" t="s">
        <v>4</v>
      </c>
      <c r="R36" s="8">
        <v>1.377</v>
      </c>
      <c r="S36" s="2" t="s">
        <v>79</v>
      </c>
      <c r="T36" s="9" t="s">
        <v>126</v>
      </c>
    </row>
    <row r="37" spans="3:21" x14ac:dyDescent="0.2">
      <c r="C37" s="1">
        <f t="shared" si="3"/>
        <v>29</v>
      </c>
      <c r="D37" s="2" t="s">
        <v>4</v>
      </c>
      <c r="E37" s="8">
        <v>1946.126</v>
      </c>
      <c r="F37" s="2" t="s">
        <v>77</v>
      </c>
      <c r="G37" s="2" t="s">
        <v>157</v>
      </c>
      <c r="J37" s="4">
        <f t="shared" ref="J37:J57" si="4">J36+2</f>
        <v>9</v>
      </c>
      <c r="K37" s="2" t="s">
        <v>4</v>
      </c>
      <c r="L37" s="7">
        <v>1.1639999999999999</v>
      </c>
      <c r="M37" s="2" t="s">
        <v>101</v>
      </c>
      <c r="N37" s="8">
        <v>15.97</v>
      </c>
      <c r="P37" s="4">
        <f t="shared" ref="P37:P55" si="5">P36+2</f>
        <v>9</v>
      </c>
      <c r="Q37" s="2" t="s">
        <v>4</v>
      </c>
      <c r="R37" s="8">
        <v>1.597</v>
      </c>
      <c r="S37" s="2" t="s">
        <v>80</v>
      </c>
      <c r="T37" s="9" t="s">
        <v>127</v>
      </c>
    </row>
    <row r="38" spans="3:21" x14ac:dyDescent="0.2">
      <c r="J38" s="4">
        <f t="shared" si="4"/>
        <v>11</v>
      </c>
      <c r="K38" s="2" t="s">
        <v>4</v>
      </c>
      <c r="L38" s="7">
        <v>1.198</v>
      </c>
      <c r="M38" s="2" t="s">
        <v>102</v>
      </c>
      <c r="N38" s="8">
        <v>20.05</v>
      </c>
      <c r="P38" s="4">
        <f t="shared" si="5"/>
        <v>11</v>
      </c>
      <c r="Q38" s="2" t="s">
        <v>4</v>
      </c>
      <c r="R38" s="8">
        <v>1.66</v>
      </c>
      <c r="S38" s="2" t="s">
        <v>81</v>
      </c>
      <c r="T38" s="9" t="s">
        <v>128</v>
      </c>
    </row>
    <row r="39" spans="3:21" x14ac:dyDescent="0.2">
      <c r="J39" s="4">
        <f t="shared" si="4"/>
        <v>13</v>
      </c>
      <c r="K39" s="2" t="s">
        <v>4</v>
      </c>
      <c r="L39" s="7">
        <v>1.2709999999999999</v>
      </c>
      <c r="M39" s="2" t="s">
        <v>103</v>
      </c>
      <c r="N39" s="8">
        <v>24.47</v>
      </c>
      <c r="P39" s="4">
        <f t="shared" si="5"/>
        <v>13</v>
      </c>
      <c r="Q39" s="2" t="s">
        <v>4</v>
      </c>
      <c r="R39" s="8">
        <v>1.6539999999999999</v>
      </c>
      <c r="S39" s="2" t="s">
        <v>82</v>
      </c>
      <c r="T39" s="9" t="s">
        <v>129</v>
      </c>
    </row>
    <row r="40" spans="3:21" x14ac:dyDescent="0.2">
      <c r="J40" s="4">
        <f t="shared" si="4"/>
        <v>15</v>
      </c>
      <c r="K40" s="2" t="s">
        <v>4</v>
      </c>
      <c r="L40" s="7">
        <v>1.3740000000000001</v>
      </c>
      <c r="M40" s="2" t="s">
        <v>104</v>
      </c>
      <c r="N40" s="8">
        <v>29.1</v>
      </c>
      <c r="P40" s="4">
        <f t="shared" si="5"/>
        <v>15</v>
      </c>
      <c r="Q40" s="2" t="s">
        <v>4</v>
      </c>
      <c r="R40" s="8">
        <v>1.5840000000000001</v>
      </c>
      <c r="S40" s="2" t="s">
        <v>83</v>
      </c>
      <c r="T40" s="9" t="s">
        <v>130</v>
      </c>
    </row>
    <row r="41" spans="3:21" x14ac:dyDescent="0.2">
      <c r="J41" s="4">
        <f t="shared" si="4"/>
        <v>17</v>
      </c>
      <c r="K41" s="2" t="s">
        <v>4</v>
      </c>
      <c r="L41" s="7">
        <v>1.41</v>
      </c>
      <c r="M41" s="2" t="s">
        <v>105</v>
      </c>
      <c r="N41" s="8">
        <v>33.9</v>
      </c>
      <c r="P41" s="4">
        <f t="shared" si="5"/>
        <v>17</v>
      </c>
      <c r="Q41" s="2" t="s">
        <v>4</v>
      </c>
      <c r="R41" s="8">
        <v>1.52</v>
      </c>
      <c r="S41" s="2" t="s">
        <v>84</v>
      </c>
      <c r="T41" s="9" t="s">
        <v>131</v>
      </c>
    </row>
    <row r="42" spans="3:21" x14ac:dyDescent="0.2">
      <c r="J42" s="4">
        <f t="shared" si="4"/>
        <v>19</v>
      </c>
      <c r="K42" s="2" t="s">
        <v>4</v>
      </c>
      <c r="L42" s="7">
        <v>1.4470000000000001</v>
      </c>
      <c r="M42" s="2" t="s">
        <v>106</v>
      </c>
      <c r="N42" s="8">
        <v>38.82</v>
      </c>
      <c r="P42" s="4">
        <f t="shared" si="5"/>
        <v>19</v>
      </c>
      <c r="Q42" s="2" t="s">
        <v>4</v>
      </c>
      <c r="R42" s="8">
        <v>1.52</v>
      </c>
      <c r="S42" s="2" t="s">
        <v>85</v>
      </c>
      <c r="T42" s="9" t="s">
        <v>132</v>
      </c>
    </row>
    <row r="43" spans="3:21" x14ac:dyDescent="0.2">
      <c r="J43" s="4">
        <f t="shared" si="4"/>
        <v>21</v>
      </c>
      <c r="K43" s="2" t="s">
        <v>4</v>
      </c>
      <c r="L43" s="7">
        <v>1.4730000000000001</v>
      </c>
      <c r="M43" s="2" t="s">
        <v>107</v>
      </c>
      <c r="N43" s="8">
        <v>43.84</v>
      </c>
      <c r="P43" s="4">
        <f t="shared" si="5"/>
        <v>21</v>
      </c>
      <c r="Q43" s="2" t="s">
        <v>4</v>
      </c>
      <c r="R43" s="8">
        <v>1.609</v>
      </c>
      <c r="S43" s="2" t="s">
        <v>86</v>
      </c>
      <c r="T43" s="9" t="s">
        <v>133</v>
      </c>
    </row>
    <row r="44" spans="3:21" x14ac:dyDescent="0.2">
      <c r="J44" s="4">
        <f t="shared" si="4"/>
        <v>23</v>
      </c>
      <c r="K44" s="2" t="s">
        <v>4</v>
      </c>
      <c r="L44" s="7">
        <v>1.5109999999999999</v>
      </c>
      <c r="M44" s="2" t="s">
        <v>108</v>
      </c>
      <c r="N44" s="8">
        <v>48.96</v>
      </c>
      <c r="P44" s="4">
        <f t="shared" si="5"/>
        <v>23</v>
      </c>
      <c r="Q44" s="2" t="s">
        <v>4</v>
      </c>
      <c r="R44" s="8">
        <v>2.302</v>
      </c>
      <c r="S44" s="2" t="s">
        <v>87</v>
      </c>
      <c r="T44" s="9" t="s">
        <v>134</v>
      </c>
    </row>
    <row r="45" spans="3:21" x14ac:dyDescent="0.2">
      <c r="J45" s="4">
        <f t="shared" si="4"/>
        <v>25</v>
      </c>
      <c r="K45" s="2" t="s">
        <v>4</v>
      </c>
      <c r="L45" s="7">
        <v>1.5109999999999999</v>
      </c>
      <c r="M45" s="2" t="s">
        <v>109</v>
      </c>
      <c r="N45" s="8">
        <v>53.97</v>
      </c>
      <c r="P45" s="4">
        <f t="shared" si="5"/>
        <v>25</v>
      </c>
      <c r="Q45" s="2" t="s">
        <v>4</v>
      </c>
      <c r="R45" s="8">
        <v>3.6970000000000001</v>
      </c>
      <c r="S45" s="2" t="s">
        <v>88</v>
      </c>
      <c r="T45" s="9" t="s">
        <v>135</v>
      </c>
    </row>
    <row r="46" spans="3:21" x14ac:dyDescent="0.2">
      <c r="J46" s="4">
        <f t="shared" si="4"/>
        <v>27</v>
      </c>
      <c r="K46" s="2" t="s">
        <v>4</v>
      </c>
      <c r="L46" s="7">
        <v>1.504</v>
      </c>
      <c r="M46" s="2" t="s">
        <v>110</v>
      </c>
      <c r="N46" s="8">
        <v>58.83</v>
      </c>
      <c r="P46" s="4">
        <f t="shared" si="5"/>
        <v>27</v>
      </c>
      <c r="Q46" s="2" t="s">
        <v>4</v>
      </c>
      <c r="R46" s="8">
        <v>7.093</v>
      </c>
      <c r="S46" s="2" t="s">
        <v>89</v>
      </c>
      <c r="T46" s="9" t="s">
        <v>136</v>
      </c>
    </row>
    <row r="47" spans="3:21" x14ac:dyDescent="0.2">
      <c r="J47" s="4">
        <f t="shared" si="4"/>
        <v>29</v>
      </c>
      <c r="K47" s="2" t="s">
        <v>4</v>
      </c>
      <c r="L47" s="7">
        <v>1.51</v>
      </c>
      <c r="M47" s="2" t="s">
        <v>111</v>
      </c>
      <c r="N47" s="8">
        <v>63.38</v>
      </c>
      <c r="P47" s="4">
        <f t="shared" si="5"/>
        <v>29</v>
      </c>
      <c r="Q47" s="2" t="s">
        <v>4</v>
      </c>
      <c r="R47" s="8">
        <v>19.608000000000001</v>
      </c>
      <c r="S47" s="2" t="s">
        <v>90</v>
      </c>
      <c r="T47" s="9" t="s">
        <v>137</v>
      </c>
    </row>
    <row r="48" spans="3:21" x14ac:dyDescent="0.2">
      <c r="J48" s="4">
        <f t="shared" si="4"/>
        <v>31</v>
      </c>
      <c r="K48" s="2" t="s">
        <v>4</v>
      </c>
      <c r="L48" s="7">
        <v>1.5009999999999999</v>
      </c>
      <c r="M48" s="2" t="s">
        <v>112</v>
      </c>
      <c r="N48" s="8">
        <v>67.66</v>
      </c>
      <c r="P48" s="4">
        <f t="shared" si="5"/>
        <v>31</v>
      </c>
      <c r="Q48" s="2" t="s">
        <v>4</v>
      </c>
      <c r="R48" s="8">
        <v>97.850999999999999</v>
      </c>
      <c r="S48" s="2" t="s">
        <v>91</v>
      </c>
      <c r="T48" s="9" t="s">
        <v>138</v>
      </c>
    </row>
    <row r="49" spans="10:20" x14ac:dyDescent="0.2">
      <c r="J49" s="4">
        <f t="shared" si="4"/>
        <v>33</v>
      </c>
      <c r="K49" s="2" t="s">
        <v>4</v>
      </c>
      <c r="L49" s="7">
        <v>1.4910000000000001</v>
      </c>
      <c r="M49" s="2" t="s">
        <v>113</v>
      </c>
      <c r="N49" s="8">
        <v>71.540000000000006</v>
      </c>
      <c r="P49" s="4">
        <f t="shared" si="5"/>
        <v>33</v>
      </c>
      <c r="Q49" s="2" t="s">
        <v>4</v>
      </c>
      <c r="R49" s="8">
        <v>692.17100000000005</v>
      </c>
      <c r="S49" s="2" t="s">
        <v>92</v>
      </c>
      <c r="T49" s="9" t="s">
        <v>139</v>
      </c>
    </row>
    <row r="50" spans="10:20" x14ac:dyDescent="0.2">
      <c r="J50" s="4">
        <f t="shared" si="4"/>
        <v>35</v>
      </c>
      <c r="K50" s="2" t="s">
        <v>4</v>
      </c>
      <c r="L50" s="7">
        <v>1.4890000000000001</v>
      </c>
      <c r="M50" s="2" t="s">
        <v>114</v>
      </c>
      <c r="N50" s="8">
        <v>74.98</v>
      </c>
      <c r="P50" s="4">
        <f t="shared" si="5"/>
        <v>35</v>
      </c>
      <c r="Q50" s="2" t="s">
        <v>4</v>
      </c>
      <c r="R50" s="8">
        <v>1418.652</v>
      </c>
      <c r="S50" s="2" t="s">
        <v>93</v>
      </c>
      <c r="T50" s="9" t="s">
        <v>140</v>
      </c>
    </row>
    <row r="51" spans="10:20" x14ac:dyDescent="0.2">
      <c r="J51" s="4">
        <f t="shared" si="4"/>
        <v>37</v>
      </c>
      <c r="K51" s="2" t="s">
        <v>4</v>
      </c>
      <c r="L51" s="7">
        <v>1.5429999999999999</v>
      </c>
      <c r="M51" s="2" t="s">
        <v>115</v>
      </c>
      <c r="N51" s="8">
        <v>77.94</v>
      </c>
      <c r="P51" s="4">
        <f t="shared" si="5"/>
        <v>37</v>
      </c>
      <c r="Q51" s="2" t="s">
        <v>4</v>
      </c>
      <c r="R51" s="8">
        <v>1505.4079999999999</v>
      </c>
      <c r="S51" s="2" t="s">
        <v>94</v>
      </c>
      <c r="T51" s="9" t="s">
        <v>141</v>
      </c>
    </row>
    <row r="52" spans="10:20" x14ac:dyDescent="0.2">
      <c r="J52" s="4">
        <f t="shared" si="4"/>
        <v>39</v>
      </c>
      <c r="K52" s="2" t="s">
        <v>4</v>
      </c>
      <c r="L52" s="7">
        <v>1.798</v>
      </c>
      <c r="M52" s="2" t="s">
        <v>116</v>
      </c>
      <c r="N52" s="8">
        <v>80.39</v>
      </c>
      <c r="P52" s="4">
        <f t="shared" si="5"/>
        <v>39</v>
      </c>
      <c r="Q52" s="2" t="s">
        <v>4</v>
      </c>
      <c r="R52" s="8">
        <v>1533.5250000000001</v>
      </c>
      <c r="S52" s="2" t="s">
        <v>95</v>
      </c>
      <c r="T52" s="9" t="s">
        <v>140</v>
      </c>
    </row>
    <row r="53" spans="10:20" x14ac:dyDescent="0.2">
      <c r="J53" s="4">
        <f t="shared" si="4"/>
        <v>41</v>
      </c>
      <c r="K53" s="2" t="s">
        <v>4</v>
      </c>
      <c r="L53" s="7">
        <v>2.242</v>
      </c>
      <c r="M53" s="2" t="s">
        <v>117</v>
      </c>
      <c r="N53" s="8">
        <v>82.29</v>
      </c>
      <c r="P53" s="4">
        <f t="shared" si="5"/>
        <v>41</v>
      </c>
      <c r="Q53" s="2" t="s">
        <v>4</v>
      </c>
      <c r="R53" s="8">
        <v>1579.394</v>
      </c>
      <c r="S53" s="2" t="s">
        <v>96</v>
      </c>
      <c r="T53" s="9" t="s">
        <v>142</v>
      </c>
    </row>
    <row r="54" spans="10:20" x14ac:dyDescent="0.2">
      <c r="J54" s="4">
        <f t="shared" si="4"/>
        <v>43</v>
      </c>
      <c r="K54" s="2" t="s">
        <v>4</v>
      </c>
      <c r="L54" s="7">
        <v>2.8820000000000001</v>
      </c>
      <c r="M54" s="2" t="s">
        <v>118</v>
      </c>
      <c r="N54" s="8">
        <v>83.74</v>
      </c>
      <c r="P54" s="4">
        <f t="shared" si="5"/>
        <v>43</v>
      </c>
      <c r="Q54" s="2" t="s">
        <v>4</v>
      </c>
      <c r="R54" s="8">
        <v>1750.691</v>
      </c>
      <c r="S54" s="2" t="s">
        <v>97</v>
      </c>
      <c r="T54" s="9" t="s">
        <v>143</v>
      </c>
    </row>
    <row r="55" spans="10:20" x14ac:dyDescent="0.2">
      <c r="J55" s="4">
        <f t="shared" si="4"/>
        <v>45</v>
      </c>
      <c r="K55" s="2" t="s">
        <v>4</v>
      </c>
      <c r="L55" s="7">
        <v>3.964</v>
      </c>
      <c r="M55" s="2" t="s">
        <v>119</v>
      </c>
      <c r="N55" s="8">
        <v>84.7</v>
      </c>
      <c r="P55" s="4">
        <f t="shared" si="5"/>
        <v>45</v>
      </c>
      <c r="Q55" s="2" t="s">
        <v>4</v>
      </c>
      <c r="R55" s="8">
        <v>1646.105</v>
      </c>
      <c r="S55" s="2" t="s">
        <v>98</v>
      </c>
      <c r="T55" s="9" t="s">
        <v>144</v>
      </c>
    </row>
    <row r="56" spans="10:20" x14ac:dyDescent="0.2">
      <c r="J56" s="4">
        <f t="shared" si="4"/>
        <v>47</v>
      </c>
      <c r="K56" s="2" t="s">
        <v>4</v>
      </c>
      <c r="L56" s="7">
        <v>5.9740000000000002</v>
      </c>
      <c r="M56" s="2" t="s">
        <v>120</v>
      </c>
      <c r="N56" s="8">
        <v>85.35</v>
      </c>
      <c r="P56" s="1"/>
      <c r="Q56" s="2"/>
      <c r="R56" s="2"/>
      <c r="S56" s="2"/>
      <c r="T56" s="2"/>
    </row>
    <row r="57" spans="10:20" x14ac:dyDescent="0.2">
      <c r="J57" s="4">
        <f t="shared" si="4"/>
        <v>49</v>
      </c>
      <c r="K57" s="2" t="s">
        <v>4</v>
      </c>
      <c r="L57" s="7">
        <v>10.083</v>
      </c>
      <c r="M57" s="2" t="s">
        <v>121</v>
      </c>
      <c r="N57" s="8">
        <v>85.61</v>
      </c>
      <c r="P57" s="1"/>
      <c r="Q57" s="2"/>
      <c r="R57" s="2"/>
      <c r="S57" s="2"/>
      <c r="T57" s="2"/>
    </row>
  </sheetData>
  <mergeCells count="6">
    <mergeCell ref="C7:H7"/>
    <mergeCell ref="J7:O7"/>
    <mergeCell ref="P7:U7"/>
    <mergeCell ref="C23:H23"/>
    <mergeCell ref="J33:O33"/>
    <mergeCell ref="P33:U3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Павел Шимко</dc:creator>
  <cp:lastModifiedBy>Павел Шимко</cp:lastModifiedBy>
  <dcterms:created xsi:type="dcterms:W3CDTF">2026-02-28T22:00:48Z</dcterms:created>
  <dcterms:modified xsi:type="dcterms:W3CDTF">2026-03-06T09:00:52Z</dcterms:modified>
</cp:coreProperties>
</file>